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ad55c8180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27590469e0c4266"/>
    <x:sheet xmlns:r="http://schemas.openxmlformats.org/officeDocument/2006/relationships" name="파일관리대장" sheetId="2" r:id="R875244620ef6427a"/>
    <x:sheet xmlns:r="http://schemas.openxmlformats.org/officeDocument/2006/relationships" name="관리기준" sheetId="3" r:id="Re1d75d7df6ff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#,##0.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65F5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9"/>
      <x:color rgb="FF243E3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9275"/>
      </x:patternFill>
    </x:fill>
    <x:fill>
      <x:patternFill patternType="solid">
        <x:fgColor rgb="FFEAF6F4"/>
      </x:patternFill>
    </x:fill>
    <x:fill>
      <x:patternFill patternType="solid">
        <x:fgColor rgb="FF163832"/>
      </x:patternFill>
    </x:fill>
    <x:fill>
      <x:patternFill patternType="solid">
        <x:fgColor rgb="FFFFFFFF"/>
      </x:patternFill>
    </x:fill>
    <x:fill>
      <x:patternFill patternType="solid">
        <x:fgColor rgb="FFDDF1F8"/>
      </x:patternFill>
    </x:fill>
  </x:fills>
  <x:borders count="3">
    <x:border/>
    <x:border>
      <x:bottom style="thin">
        <x:color rgb="FFC9DCD7"/>
      </x:bottom>
    </x:border>
    <x:border>
      <x:bottom style="thin">
        <x:color rgb="FFDDE9E6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4FAF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d8431563646fc" /><Relationship Type="http://schemas.openxmlformats.org/officeDocument/2006/relationships/theme" Target="/xl/theme/theme1.xml" Id="Rc599f8604b0e4b66" /><Relationship Type="http://schemas.openxmlformats.org/officeDocument/2006/relationships/sharedStrings" Target="/xl/sharedStrings.xml" Id="R9b65359448d84763" /><Relationship Type="http://schemas.openxmlformats.org/officeDocument/2006/relationships/worksheet" Target="/xl/worksheets/sheet1.xml" Id="Rf27590469e0c4266" /><Relationship Type="http://schemas.openxmlformats.org/officeDocument/2006/relationships/worksheet" Target="/xl/worksheets/sheet2.xml" Id="R875244620ef6427a" /><Relationship Type="http://schemas.openxmlformats.org/officeDocument/2006/relationships/worksheet" Target="/xl/worksheets/sheet3.xml" Id="Re1d75d7df6ff4d5c" /></Relationships>
</file>

<file path=xl/tables/table1.xml><?xml version="1.0" encoding="utf-8"?>
<x:table xmlns:x="http://schemas.openxmlformats.org/spreadsheetml/2006/main" id="1" name="SourceFileLedger" displayName="SourceFileLedger" ref="A4:O76" headerRowCount="1" totalsRowCount="0" totalsRowShown="0">
  <x:autoFilter ref="A4:O76"/>
  <x:tableColumns count="15">
    <x:tableColumn id="1" name="ID"/>
    <x:tableColumn id="2" name="논리 분류"/>
    <x:tableColumn id="3" name="세부 분류"/>
    <x:tableColumn id="4" name="파일명"/>
    <x:tableColumn id="5" name="상대 경로"/>
    <x:tableColumn id="6" name="파일 목적"/>
    <x:tableColumn id="7" name="세부내용"/>
    <x:tableColumn id="8" name="실행·참조 주체"/>
    <x:tableColumn id="9" name="권위 수준"/>
    <x:tableColumn id="10" name="관리 상태"/>
    <x:tableColumn id="11" name="우선순위"/>
    <x:tableColumn id="12" name="Git 상태"/>
    <x:tableColumn id="13" name="최종 수정일"/>
    <x:tableColumn id="14" name="크기(KB)"/>
    <x:tableColumn id="15" name="비고·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07b5ea9c224f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" hidden="0" customWidth="1"/>
    <x:col min="4" max="4" width="24" hidden="0" customWidth="1"/>
    <x:col min="5" max="5" width="34" hidden="0" customWidth="1"/>
    <x:col min="6" max="6" width="43" hidden="0" customWidth="1"/>
    <x:col min="7" max="7" width="20" hidden="0" customWidth="1"/>
    <x:col min="8" max="8" width="10" hidden="0" customWidth="1"/>
  </x:cols>
  <x:sheetData>
    <x:row r="1" ht="34" customHeight="1">
      <x:c r="A1" s="3" t="str">
        <x:v>AI_Finance_Sec 소스·파일 관리 현황</x:v>
      </x:c>
      <x:c r="B1" s="3"/>
      <x:c r="C1" s="3"/>
      <x:c r="D1" s="3"/>
      <x:c r="E1" s="3"/>
      <x:c r="F1" s="3"/>
      <x:c r="G1" s="3"/>
      <x:c r="H1" s="3"/>
    </x:row>
    <x:row r="2" ht="24" customHeight="1">
      <x:c r="A2" s="5" t="str">
        <x:v>실행 기준 소스와 문서·평가·배포·제출 산출물을 역할과 관리 상태로 재분류한 최신 대장 (2026-08-16)</x:v>
      </x:c>
      <x:c r="B2" s="5"/>
      <x:c r="C2" s="5"/>
      <x:c r="D2" s="5"/>
      <x:c r="E2" s="5"/>
      <x:c r="F2" s="5"/>
      <x:c r="G2" s="5"/>
      <x:c r="H2" s="5"/>
    </x:row>
    <x:row r="4">
      <x:c r="A4" s="9" t="str">
        <x:v>관리 지표</x:v>
      </x:c>
      <x:c r="B4" s="9" t="str">
        <x:v>건수</x:v>
      </x:c>
      <x:c r="D4" s="9" t="str">
        <x:v>현재 실행 기준 소스 (Single Source of Truth)</x:v>
      </x:c>
      <x:c r="E4" s="9"/>
      <x:c r="F4" s="9"/>
      <x:c r="G4" s="9"/>
      <x:c r="H4" s="9"/>
    </x:row>
    <x:row r="5">
      <x:c r="A5" s="12" t="str">
        <x:v>전체 관리 파일</x:v>
      </x:c>
      <x:c r="B5" s="14" t="n">
        <x:f>COUNTA('파일관리대장'!$A$5:$A$76)</x:f>
        <x:v>72</x:v>
      </x:c>
      <x:c r="D5" s="18" t="str">
        <x:v>Python AI 코어</x:v>
      </x:c>
      <x:c r="E5" s="18" t="str">
        <x:v>backend/app/graph.py</x:v>
      </x:c>
      <x:c r="F5" s="18" t="str">
        <x:v>State·Node·Edge·Qwen·RAG·Safety</x:v>
      </x:c>
      <x:c r="G5" s="18" t="str">
        <x:v>단일 기준 소스</x:v>
      </x:c>
      <x:c r="H5" s="18" t="str">
        <x:v>P0</x:v>
      </x:c>
    </x:row>
    <x:row r="6">
      <x:c r="A6" s="12" t="str">
        <x:v>핵심 실행</x:v>
      </x:c>
      <x:c r="B6" s="14" t="n">
        <x:f>COUNTIF('파일관리대장'!$B$5:$B$76,"핵심 실행")</x:f>
        <x:v>5</x:v>
      </x:c>
      <x:c r="D6" s="18" t="str">
        <x:v>FastAPI</x:v>
      </x:c>
      <x:c r="E6" s="18" t="str">
        <x:v>backend/main.py</x:v>
      </x:c>
      <x:c r="F6" s="18" t="str">
        <x:v>API 요청·응답 및 graph 호출</x:v>
      </x:c>
      <x:c r="G6" s="18" t="str">
        <x:v>실행 진입점</x:v>
      </x:c>
      <x:c r="H6" s="18" t="str">
        <x:v>P0</x:v>
      </x:c>
    </x:row>
    <x:row r="7">
      <x:c r="A7" s="12" t="str">
        <x:v>검증 자산</x:v>
      </x:c>
      <x:c r="B7" s="14" t="n">
        <x:f>COUNTIF('파일관리대장'!$I$5:$I$76,"검증 자산")</x:f>
        <x:v>8</x:v>
      </x:c>
      <x:c r="D7" s="18" t="str">
        <x:v>Cloud BYOK</x:v>
      </x:c>
      <x:c r="E7" s="18" t="str">
        <x:v>app/api/chat/route.ts</x:v>
      </x:c>
      <x:c r="F7" s="18" t="str">
        <x:v>외부 Provider·Ollama 라우팅</x:v>
      </x:c>
      <x:c r="G7" s="18" t="str">
        <x:v>실행 진입점</x:v>
      </x:c>
      <x:c r="H7" s="18" t="str">
        <x:v>P0</x:v>
      </x:c>
    </x:row>
    <x:row r="8">
      <x:c r="A8" s="12" t="str">
        <x:v>동기화 필요</x:v>
      </x:c>
      <x:c r="B8" s="14" t="n">
        <x:f>COUNTIF('파일관리대장'!$J$5:$J$76,"동기화 필요")</x:f>
        <x:v>3</x:v>
      </x:c>
      <x:c r="D8" s="18" t="str">
        <x:v>브라우저 Mock</x:v>
      </x:c>
      <x:c r="E8" s="18" t="str">
        <x:v>app/lib/engine.ts</x:v>
      </x:c>
      <x:c r="F8" s="18" t="str">
        <x:v>API 없는 데모 판정·검색</x:v>
      </x:c>
      <x:c r="G8" s="18" t="str">
        <x:v>병행 기준 소스</x:v>
      </x:c>
      <x:c r="H8" s="18" t="str">
        <x:v>P0</x:v>
      </x:c>
    </x:row>
    <x:row r="9">
      <x:c r="A9" s="12" t="str">
        <x:v>보관·정리 검토</x:v>
      </x:c>
      <x:c r="B9" s="14" t="n">
        <x:f>COUNTIF('파일관리대장'!$J$5:$J$76,"보관 검토")+COUNTIF('파일관리대장'!$J$5:$J$76,"정리 검토")</x:f>
        <x:v>12</x:v>
      </x:c>
      <x:c r="D9" s="19" t="str">
        <x:v>웹 화면</x:v>
      </x:c>
      <x:c r="E9" s="19" t="str">
        <x:v>app/page.tsx</x:v>
      </x:c>
      <x:c r="F9" s="19" t="str">
        <x:v>모델 선택·채팅·판정·근거 표시</x:v>
      </x:c>
      <x:c r="G9" s="19" t="str">
        <x:v>실행 진입점</x:v>
      </x:c>
      <x:c r="H9" s="19" t="str">
        <x:v>P0</x:v>
      </x:c>
    </x:row>
    <x:row r="10">
      <x:c r="A10" s="13" t="str">
        <x:v>Git 변경/신규</x:v>
      </x:c>
      <x:c r="B10" s="15" t="n">
        <x:f>COUNTIF('파일관리대장'!$L$5:$L$76,"M")+COUNTIF('파일관리대장'!$L$5:$L$76,"??")</x:f>
        <x:v>9</x:v>
      </x:c>
    </x:row>
    <x:row r="11">
      <x:c r="D11" s="9" t="str">
        <x:v>핵심 관리 이슈</x:v>
      </x:c>
      <x:c r="E11" s="9"/>
      <x:c r="F11" s="9"/>
      <x:c r="G11" s="9"/>
      <x:c r="H11" s="9"/>
    </x:row>
    <x:row r="12">
      <x:c r="D12" s="24" t="str">
        <x:v>Notebook</x:v>
      </x:c>
      <x:c r="E12" s="24" t="str">
        <x:v>최신 graph.py와 불일치</x:v>
      </x:c>
      <x:c r="F12" s="24" t="str">
        <x:v>설명·실험용으로만 사용</x:v>
      </x:c>
      <x:c r="G12" s="24" t="str">
        <x:v>동기화 필요</x:v>
      </x:c>
      <x:c r="H12" s="24" t="str">
        <x:v>P1</x:v>
      </x:c>
    </x:row>
    <x:row r="13">
      <x:c r="D13" s="24" t="str">
        <x:v>README/Notion 가이드</x:v>
      </x:c>
      <x:c r="E13" s="24" t="str">
        <x:v>최신 구조화 Qwen·호출 순서 반영 필요</x:v>
      </x:c>
      <x:c r="F13" s="24" t="str">
        <x:v>코드 기준으로 갱신</x:v>
      </x:c>
      <x:c r="G13" s="24" t="str">
        <x:v>동기화 필요</x:v>
      </x:c>
      <x:c r="H13" s="24" t="str">
        <x:v>P1</x:v>
      </x:c>
    </x:row>
    <x:row r="14">
      <x:c r="D14" s="24" t="str">
        <x:v>미참조 JSON</x:v>
      </x:c>
      <x:c r="E14" s="24" t="str">
        <x:v>demo_scenarios·evaluation_blind_round4</x:v>
      </x:c>
      <x:c r="F14" s="24" t="str">
        <x:v>테스트 편입 또는 archive 검토</x:v>
      </x:c>
      <x:c r="G14" s="24" t="str">
        <x:v>보관 검토</x:v>
      </x:c>
      <x:c r="H14" s="24" t="str">
        <x:v>P1</x:v>
      </x:c>
    </x:row>
    <x:row r="15">
      <x:c r="D15" s="24" t="str">
        <x:v>Lockfile</x:v>
      </x:c>
      <x:c r="E15" s="24" t="str">
        <x:v>npm·pnpm 잠금파일 중복</x:v>
      </x:c>
      <x:c r="F15" s="24" t="str">
        <x:v>기준 패키지 매니저 확정</x:v>
      </x:c>
      <x:c r="G15" s="24" t="str">
        <x:v>정리 검토</x:v>
      </x:c>
      <x:c r="H15" s="24" t="str">
        <x:v>P2</x:v>
      </x:c>
    </x:row>
    <x:row r="16">
      <x:c r="D16" s="25" t="str">
        <x:v>제출 문서</x:v>
      </x:c>
      <x:c r="E16" s="25" t="str">
        <x:v>통합수정본이 제출본보다 최신</x:v>
      </x:c>
      <x:c r="F16" s="25" t="str">
        <x:v>팀 정보·URL 확인 후 최종본 확정</x:v>
      </x:c>
      <x:c r="G16" s="25" t="str">
        <x:v>제출 확인</x:v>
      </x:c>
      <x:c r="H16" s="25" t="str">
        <x:v>P0</x:v>
      </x:c>
    </x:row>
  </x:sheetData>
  <x:mergeCells>
    <x:mergeCell ref="A1:H1"/>
    <x:mergeCell ref="A2:H2"/>
    <x:mergeCell ref="D4:H4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7" hidden="0" customWidth="1"/>
    <x:col min="3" max="3" width="18" hidden="0" customWidth="1"/>
    <x:col min="4" max="4" width="32" hidden="0" customWidth="1"/>
    <x:col min="5" max="5" width="48" hidden="0" customWidth="1"/>
    <x:col min="6" max="6" width="27" hidden="0" customWidth="1"/>
    <x:col min="7" max="7" width="64" hidden="0" customWidth="1"/>
    <x:col min="8" max="8" width="24" hidden="0" customWidth="1"/>
    <x:col min="9" max="9" width="19" hidden="0" customWidth="1"/>
    <x:col min="10" max="10" width="17" hidden="0" customWidth="1"/>
    <x:col min="11" max="11" width="10" hidden="0" customWidth="1"/>
    <x:col min="12" max="12" width="17" hidden="0" customWidth="1"/>
    <x:col min="13" max="13" width="18" hidden="0" customWidth="1"/>
    <x:col min="14" max="14" width="12" hidden="0" customWidth="1"/>
    <x:col min="15" max="15" width="32" hidden="0" customWidth="1"/>
  </x:cols>
  <x:sheetData>
    <x:row r="1" ht="32" customHeight="1">
      <x:c r="A1" s="27" t="str">
        <x:v>AI_Finance_Sec 파일 관리 목록 대장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</x:row>
    <x:row r="2" ht="24" customHeight="1">
      <x:c r="A2" s="5" t="str">
        <x:v>파일명·목적·세부내용과 함께 권위 수준, 관리 상태, 우선순위, Git 상태를 추적합니다.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>
      <x:c r="A4" s="9" t="str">
        <x:v>ID</x:v>
      </x:c>
      <x:c r="B4" s="9" t="str">
        <x:v>논리 분류</x:v>
      </x:c>
      <x:c r="C4" s="9" t="str">
        <x:v>세부 분류</x:v>
      </x:c>
      <x:c r="D4" s="9" t="str">
        <x:v>파일명</x:v>
      </x:c>
      <x:c r="E4" s="9" t="str">
        <x:v>상대 경로</x:v>
      </x:c>
      <x:c r="F4" s="9" t="str">
        <x:v>파일 목적</x:v>
      </x:c>
      <x:c r="G4" s="9" t="str">
        <x:v>세부내용</x:v>
      </x:c>
      <x:c r="H4" s="9" t="str">
        <x:v>실행·참조 주체</x:v>
      </x:c>
      <x:c r="I4" s="9" t="str">
        <x:v>권위 수준</x:v>
      </x:c>
      <x:c r="J4" s="9" t="str">
        <x:v>관리 상태</x:v>
      </x:c>
      <x:c r="K4" s="9" t="str">
        <x:v>우선순위</x:v>
      </x:c>
      <x:c r="L4" s="9" t="str">
        <x:v>Git 상태</x:v>
      </x:c>
      <x:c r="M4" s="9" t="str">
        <x:v>최종 수정일</x:v>
      </x:c>
      <x:c r="N4" s="9" t="str">
        <x:v>크기(KB)</x:v>
      </x:c>
      <x:c r="O4" s="9" t="str">
        <x:v>비고·조치</x:v>
      </x:c>
    </x:row>
    <x:row r="5" ht="42" customHeight="1">
      <x:c r="A5" s="32" t="n">
        <x:v>1</x:v>
      </x:c>
      <x:c r="B5" s="32" t="str">
        <x:v>핵심 실행</x:v>
      </x:c>
      <x:c r="C5" s="32" t="str">
        <x:v>모델 라우터</x:v>
      </x:c>
      <x:c r="D5" s="32" t="str">
        <x:v>route.ts</x:v>
      </x:c>
      <x:c r="E5" s="32" t="str">
        <x:v>AI_Finance_Sec/app/api/chat/route.ts</x:v>
      </x:c>
      <x:c r="F5" s="32" t="str">
        <x:v>Cloud BYOK·Ollama 라우터</x:v>
      </x:c>
      <x:c r="G5" s="32" t="str">
        <x:v>OpenAI, Claude, Gemini, DeepSeek, Qwen Cloud 및 로컬 FastAPI 호출 경로</x:v>
      </x:c>
      <x:c r="H5" s="32" t="str">
        <x:v>Next POST /api/chat</x:v>
      </x:c>
      <x:c r="I5" s="32" t="str">
        <x:v>실행 진입점</x:v>
      </x:c>
      <x:c r="J5" s="32" t="str">
        <x:v>유지</x:v>
      </x:c>
      <x:c r="K5" s="32" t="str">
        <x:v>P0</x:v>
      </x:c>
      <x:c r="L5" s="32" t="str">
        <x:v>추적·변경없음</x:v>
      </x:c>
      <x:c r="M5" s="34" t="n">
        <x:v>46238.38884791666</x:v>
      </x:c>
      <x:c r="N5" s="36" t="n">
        <x:v>7.8125</x:v>
      </x:c>
      <x:c r="O5" s="32" t="str"/>
    </x:row>
    <x:row r="6" ht="42" customHeight="1">
      <x:c r="A6" s="32" t="n">
        <x:v>2</x:v>
      </x:c>
      <x:c r="B6" s="32" t="str">
        <x:v>핵심 실행</x:v>
      </x:c>
      <x:c r="C6" s="32" t="str">
        <x:v>브라우저 Mock</x:v>
      </x:c>
      <x:c r="D6" s="32" t="str">
        <x:v>engine.ts</x:v>
      </x:c>
      <x:c r="E6" s="32" t="str">
        <x:v>AI_Finance_Sec/app/lib/engine.ts</x:v>
      </x:c>
      <x:c r="F6" s="32" t="str">
        <x:v>Mock 판정·검색·안전 엔진</x:v>
      </x:c>
      <x:c r="G6" s="32" t="str">
        <x:v>API 키 없이 동작하는 규칙 판정, 평가, 검색, 정책 응답과 Safety 검증</x:v>
      </x:c>
      <x:c r="H6" s="32" t="str">
        <x:v>app/page.tsx·프론트 테스트</x:v>
      </x:c>
      <x:c r="I6" s="32" t="str">
        <x:v>병행 기준 소스</x:v>
      </x:c>
      <x:c r="J6" s="32" t="str">
        <x:v>유지</x:v>
      </x:c>
      <x:c r="K6" s="32" t="str">
        <x:v>P0</x:v>
      </x:c>
      <x:c r="L6" s="32" t="str">
        <x:v>M</x:v>
      </x:c>
      <x:c r="M6" s="34" t="n">
        <x:v>46247.28005568287</x:v>
      </x:c>
      <x:c r="N6" s="36" t="n">
        <x:v>26.0576171875</x:v>
      </x:c>
      <x:c r="O6" s="32" t="str"/>
    </x:row>
    <x:row r="7" ht="42" customHeight="1">
      <x:c r="A7" s="32" t="n">
        <x:v>3</x:v>
      </x:c>
      <x:c r="B7" s="32" t="str">
        <x:v>핵심 실행</x:v>
      </x:c>
      <x:c r="C7" s="32" t="str">
        <x:v>웹 UI</x:v>
      </x:c>
      <x:c r="D7" s="32" t="str">
        <x:v>page.tsx</x:v>
      </x:c>
      <x:c r="E7" s="32" t="str">
        <x:v>AI_Finance_Sec/app/page.tsx</x:v>
      </x:c>
      <x:c r="F7" s="32" t="str">
        <x:v>메인 데모 화면</x:v>
      </x:c>
      <x:c r="G7" s="32" t="str">
        <x:v>모델 선택, 시나리오, 채팅, 위험도, 근거 문서와 처리 Trace 표시</x:v>
      </x:c>
      <x:c r="H7" s="32" t="str">
        <x:v>Next/Vinext 브라우저</x:v>
      </x:c>
      <x:c r="I7" s="32" t="str">
        <x:v>실행 진입점</x:v>
      </x:c>
      <x:c r="J7" s="32" t="str">
        <x:v>유지</x:v>
      </x:c>
      <x:c r="K7" s="32" t="str">
        <x:v>P0</x:v>
      </x:c>
      <x:c r="L7" s="32" t="str">
        <x:v>추적·변경없음</x:v>
      </x:c>
      <x:c r="M7" s="34" t="n">
        <x:v>46239.16181023148</x:v>
      </x:c>
      <x:c r="N7" s="36" t="n">
        <x:v>22.2802734375</x:v>
      </x:c>
      <x:c r="O7" s="32" t="str"/>
    </x:row>
    <x:row r="8" ht="42" customHeight="1">
      <x:c r="A8" s="32" t="n">
        <x:v>4</x:v>
      </x:c>
      <x:c r="B8" s="32" t="str">
        <x:v>핵심 실행</x:v>
      </x:c>
      <x:c r="C8" s="32" t="str">
        <x:v>Python AI 코어</x:v>
      </x:c>
      <x:c r="D8" s="32" t="str">
        <x:v>graph.py</x:v>
      </x:c>
      <x:c r="E8" s="32" t="str">
        <x:v>AI_Finance_Sec/backend/app/graph.py</x:v>
      </x:c>
      <x:c r="F8" s="32" t="str">
        <x:v>LangGraph 판정·오케스트레이션</x:v>
      </x:c>
      <x:c r="G8" s="32" t="str">
        <x:v>State, Node, Edge, Qwen 구조화 판정, 규칙 결합, RAG, 정책, Safety, 멀티턴 메모리의 실제 구현</x:v>
      </x:c>
      <x:c r="H8" s="32" t="str">
        <x:v>FastAPI run_chat</x:v>
      </x:c>
      <x:c r="I8" s="32" t="str">
        <x:v>단일 기준 소스</x:v>
      </x:c>
      <x:c r="J8" s="32" t="str">
        <x:v>유지</x:v>
      </x:c>
      <x:c r="K8" s="32" t="str">
        <x:v>P0</x:v>
      </x:c>
      <x:c r="L8" s="32" t="str">
        <x:v>M</x:v>
      </x:c>
      <x:c r="M8" s="34" t="n">
        <x:v>46247.28005630787</x:v>
      </x:c>
      <x:c r="N8" s="36" t="n">
        <x:v>33.529296875</x:v>
      </x:c>
      <x:c r="O8" s="32" t="str"/>
    </x:row>
    <x:row r="9" ht="42" customHeight="1">
      <x:c r="A9" s="32" t="n">
        <x:v>5</x:v>
      </x:c>
      <x:c r="B9" s="32" t="str">
        <x:v>핵심 실행</x:v>
      </x:c>
      <x:c r="C9" s="32" t="str">
        <x:v>FastAPI</x:v>
      </x:c>
      <x:c r="D9" s="32" t="str">
        <x:v>main.py</x:v>
      </x:c>
      <x:c r="E9" s="32" t="str">
        <x:v>AI_Finance_Sec/backend/main.py</x:v>
      </x:c>
      <x:c r="F9" s="32" t="str">
        <x:v>백엔드 API 진입점</x:v>
      </x:c>
      <x:c r="G9" s="32" t="str">
        <x:v>/health와 /api/chat 요청·응답 스키마 및 LangGraph 호출</x:v>
      </x:c>
      <x:c r="H9" s="32" t="str">
        <x:v>uvicorn backend.main:app</x:v>
      </x:c>
      <x:c r="I9" s="32" t="str">
        <x:v>실행 진입점</x:v>
      </x:c>
      <x:c r="J9" s="32" t="str">
        <x:v>유지</x:v>
      </x:c>
      <x:c r="K9" s="32" t="str">
        <x:v>P0</x:v>
      </x:c>
      <x:c r="L9" s="32" t="str">
        <x:v>추적·변경없음</x:v>
      </x:c>
      <x:c r="M9" s="34" t="n">
        <x:v>46238.38811516204</x:v>
      </x:c>
      <x:c r="N9" s="36" t="n">
        <x:v>1.423828125</x:v>
      </x:c>
      <x:c r="O9" s="32" t="str"/>
    </x:row>
    <x:row r="10" ht="42" customHeight="1">
      <x:c r="A10" s="32" t="n">
        <x:v>6</x:v>
      </x:c>
      <x:c r="B10" s="32" t="str">
        <x:v>지원 소스</x:v>
      </x:c>
      <x:c r="C10" s="32" t="str">
        <x:v>프론트 지원</x:v>
      </x:c>
      <x:c r="D10" s="32" t="str">
        <x:v>chatgpt-auth.ts</x:v>
      </x:c>
      <x:c r="E10" s="32" t="str">
        <x:v>AI_Finance_Sec/app/chatgpt-auth.ts</x:v>
      </x:c>
      <x:c r="F10" s="32" t="str">
        <x:v>화면·메타데이터·인증 지원</x:v>
      </x:c>
      <x:c r="G10" s="32" t="str">
        <x:v>메인 UI 실행을 지원하는 레이아웃, 스타일 또는 인증 보조 코드</x:v>
      </x:c>
      <x:c r="H10" s="32" t="str">
        <x:v>Next/Vinext</x:v>
      </x:c>
      <x:c r="I10" s="32" t="str">
        <x:v>지원 소스</x:v>
      </x:c>
      <x:c r="J10" s="32" t="str">
        <x:v>유지</x:v>
      </x:c>
      <x:c r="K10" s="32" t="str">
        <x:v>P1</x:v>
      </x:c>
      <x:c r="L10" s="32" t="str">
        <x:v>추적·변경없음</x:v>
      </x:c>
      <x:c r="M10" s="34" t="n">
        <x:v>46236.479813784725</x:v>
      </x:c>
      <x:c r="N10" s="36" t="n">
        <x:v>2.490234375</x:v>
      </x:c>
      <x:c r="O10" s="32" t="str"/>
    </x:row>
    <x:row r="11" ht="42" customHeight="1">
      <x:c r="A11" s="32" t="n">
        <x:v>7</x:v>
      </x:c>
      <x:c r="B11" s="32" t="str">
        <x:v>지원 소스</x:v>
      </x:c>
      <x:c r="C11" s="32" t="str">
        <x:v>스타일</x:v>
      </x:c>
      <x:c r="D11" s="32" t="str">
        <x:v>globals.css</x:v>
      </x:c>
      <x:c r="E11" s="32" t="str">
        <x:v>AI_Finance_Sec/app/globals.css</x:v>
      </x:c>
      <x:c r="F11" s="32" t="str">
        <x:v>화면·메타데이터·인증 지원</x:v>
      </x:c>
      <x:c r="G11" s="32" t="str">
        <x:v>메인 UI 실행을 지원하는 레이아웃, 스타일 또는 인증 보조 코드</x:v>
      </x:c>
      <x:c r="H11" s="32" t="str">
        <x:v>Next/Vinext</x:v>
      </x:c>
      <x:c r="I11" s="32" t="str">
        <x:v>지원 소스</x:v>
      </x:c>
      <x:c r="J11" s="32" t="str">
        <x:v>유지</x:v>
      </x:c>
      <x:c r="K11" s="32" t="str">
        <x:v>P1</x:v>
      </x:c>
      <x:c r="L11" s="32" t="str">
        <x:v>추적·변경없음</x:v>
      </x:c>
      <x:c r="M11" s="34" t="n">
        <x:v>46238.389965092596</x:v>
      </x:c>
      <x:c r="N11" s="36" t="n">
        <x:v>17.9482421875</x:v>
      </x:c>
      <x:c r="O11" s="32" t="str"/>
    </x:row>
    <x:row r="12" ht="42" customHeight="1">
      <x:c r="A12" s="32" t="n">
        <x:v>8</x:v>
      </x:c>
      <x:c r="B12" s="32" t="str">
        <x:v>지원 소스</x:v>
      </x:c>
      <x:c r="C12" s="32" t="str">
        <x:v>프론트 지원</x:v>
      </x:c>
      <x:c r="D12" s="32" t="str">
        <x:v>layout.tsx</x:v>
      </x:c>
      <x:c r="E12" s="32" t="str">
        <x:v>AI_Finance_Sec/app/layout.tsx</x:v>
      </x:c>
      <x:c r="F12" s="32" t="str">
        <x:v>화면·메타데이터·인증 지원</x:v>
      </x:c>
      <x:c r="G12" s="32" t="str">
        <x:v>메인 UI 실행을 지원하는 레이아웃, 스타일 또는 인증 보조 코드</x:v>
      </x:c>
      <x:c r="H12" s="32" t="str">
        <x:v>Next/Vinext</x:v>
      </x:c>
      <x:c r="I12" s="32" t="str">
        <x:v>지원 소스</x:v>
      </x:c>
      <x:c r="J12" s="32" t="str">
        <x:v>유지</x:v>
      </x:c>
      <x:c r="K12" s="32" t="str">
        <x:v>P1</x:v>
      </x:c>
      <x:c r="L12" s="32" t="str">
        <x:v>추적·변경없음</x:v>
      </x:c>
      <x:c r="M12" s="34" t="n">
        <x:v>46237.27749300926</x:v>
      </x:c>
      <x:c r="N12" s="36" t="n">
        <x:v>1.4970703125</x:v>
      </x:c>
      <x:c r="O12" s="32" t="str"/>
    </x:row>
    <x:row r="13" ht="42" customHeight="1">
      <x:c r="A13" s="32" t="n">
        <x:v>9</x:v>
      </x:c>
      <x:c r="B13" s="32" t="str">
        <x:v>지원 소스</x:v>
      </x:c>
      <x:c r="C13" s="32" t="str">
        <x:v>Python 패키지</x:v>
      </x:c>
      <x:c r="D13" s="32" t="str">
        <x:v>__init__.py</x:v>
      </x:c>
      <x:c r="E13" s="32" t="str">
        <x:v>AI_Finance_Sec/backend/__init__.py</x:v>
      </x:c>
      <x:c r="F13" s="32" t="str">
        <x:v>백엔드 패키지·환경 지원</x:v>
      </x:c>
      <x:c r="G13" s="32" t="str">
        <x:v>FastAPI·LangGraph 실행에 필요한 패키지 경계 또는 의존성</x:v>
      </x:c>
      <x:c r="H13" s="32" t="str">
        <x:v>Python</x:v>
      </x:c>
      <x:c r="I13" s="32" t="str">
        <x:v>지원 소스</x:v>
      </x:c>
      <x:c r="J13" s="32" t="str">
        <x:v>유지</x:v>
      </x:c>
      <x:c r="K13" s="32" t="str">
        <x:v>P1</x:v>
      </x:c>
      <x:c r="L13" s="32" t="str">
        <x:v>추적·변경없음</x:v>
      </x:c>
      <x:c r="M13" s="34" t="n">
        <x:v>46238.370635266205</x:v>
      </x:c>
      <x:c r="N13" s="36" t="n">
        <x:v>0.0400390625</x:v>
      </x:c>
      <x:c r="O13" s="32" t="str"/>
    </x:row>
    <x:row r="14" ht="42" customHeight="1">
      <x:c r="A14" s="32" t="n">
        <x:v>10</x:v>
      </x:c>
      <x:c r="B14" s="32" t="str">
        <x:v>지원 소스</x:v>
      </x:c>
      <x:c r="C14" s="32" t="str">
        <x:v>Python 패키지</x:v>
      </x:c>
      <x:c r="D14" s="32" t="str">
        <x:v>__init__.py</x:v>
      </x:c>
      <x:c r="E14" s="32" t="str">
        <x:v>AI_Finance_Sec/backend/app/__init__.py</x:v>
      </x:c>
      <x:c r="F14" s="32" t="str">
        <x:v>백엔드 패키지·환경 지원</x:v>
      </x:c>
      <x:c r="G14" s="32" t="str">
        <x:v>FastAPI·LangGraph 실행에 필요한 패키지 경계 또는 의존성</x:v>
      </x:c>
      <x:c r="H14" s="32" t="str">
        <x:v>Python</x:v>
      </x:c>
      <x:c r="I14" s="32" t="str">
        <x:v>지원 소스</x:v>
      </x:c>
      <x:c r="J14" s="32" t="str">
        <x:v>유지</x:v>
      </x:c>
      <x:c r="K14" s="32" t="str">
        <x:v>P1</x:v>
      </x:c>
      <x:c r="L14" s="32" t="str">
        <x:v>추적·변경없음</x:v>
      </x:c>
      <x:c r="M14" s="34" t="n">
        <x:v>46238.37063800926</x:v>
      </x:c>
      <x:c r="N14" s="36" t="n">
        <x:v>0.0478515625</x:v>
      </x:c>
      <x:c r="O14" s="32" t="str"/>
    </x:row>
    <x:row r="15" ht="42" customHeight="1">
      <x:c r="A15" s="32" t="n">
        <x:v>11</x:v>
      </x:c>
      <x:c r="B15" s="32" t="str">
        <x:v>지원 소스</x:v>
      </x:c>
      <x:c r="C15" s="32" t="str">
        <x:v>의존성</x:v>
      </x:c>
      <x:c r="D15" s="32" t="str">
        <x:v>requirements.txt</x:v>
      </x:c>
      <x:c r="E15" s="32" t="str">
        <x:v>AI_Finance_Sec/backend/requirements.txt</x:v>
      </x:c>
      <x:c r="F15" s="32" t="str">
        <x:v>백엔드 패키지·환경 지원</x:v>
      </x:c>
      <x:c r="G15" s="32" t="str">
        <x:v>FastAPI·LangGraph 실행에 필요한 패키지 경계 또는 의존성</x:v>
      </x:c>
      <x:c r="H15" s="32" t="str">
        <x:v>Python</x:v>
      </x:c>
      <x:c r="I15" s="32" t="str">
        <x:v>지원 소스</x:v>
      </x:c>
      <x:c r="J15" s="32" t="str">
        <x:v>유지</x:v>
      </x:c>
      <x:c r="K15" s="32" t="str">
        <x:v>P1</x:v>
      </x:c>
      <x:c r="L15" s="32" t="str">
        <x:v>추적·변경없음</x:v>
      </x:c>
      <x:c r="M15" s="34" t="n">
        <x:v>46238.37064291666</x:v>
      </x:c>
      <x:c r="N15" s="36" t="n">
        <x:v>0.12890625</x:v>
      </x:c>
      <x:c r="O15" s="32" t="str"/>
    </x:row>
    <x:row r="16" ht="42" customHeight="1">
      <x:c r="A16" s="32" t="n">
        <x:v>12</x:v>
      </x:c>
      <x:c r="B16" s="32" t="str">
        <x:v>데이터</x:v>
      </x:c>
      <x:c r="C16" s="32" t="str">
        <x:v>데모 데이터</x:v>
      </x:c>
      <x:c r="D16" s="32" t="str">
        <x:v>demo_scenarios.json</x:v>
      </x:c>
      <x:c r="E16" s="32" t="str">
        <x:v>AI_Finance_Sec/public/data/demo_scenarios.json</x:v>
      </x:c>
      <x:c r="F16" s="32" t="str">
        <x:v>합성 시나리오 후보</x:v>
      </x:c>
      <x:c r="G16" s="32" t="str">
        <x:v>현재 화면은 인라인 시나리오를 사용하여 직접 참조되지 않는 별도 데이터</x:v>
      </x:c>
      <x:c r="H16" s="32" t="str">
        <x:v>현재 미참조</x:v>
      </x:c>
      <x:c r="I16" s="32" t="str">
        <x:v>보관 후보</x:v>
      </x:c>
      <x:c r="J16" s="32" t="str">
        <x:v>보관 검토</x:v>
      </x:c>
      <x:c r="K16" s="32" t="str">
        <x:v>P2</x:v>
      </x:c>
      <x:c r="L16" s="32" t="str">
        <x:v>추적·변경없음</x:v>
      </x:c>
      <x:c r="M16" s="34" t="n">
        <x:v>46237.273966469904</x:v>
      </x:c>
      <x:c r="N16" s="36" t="n">
        <x:v>1.701171875</x:v>
      </x:c>
      <x:c r="O16" s="32" t="str">
        <x:v>삭제 전 참조·빌드 재검증</x:v>
      </x:c>
    </x:row>
    <x:row r="17" ht="42" customHeight="1">
      <x:c r="A17" s="32" t="n">
        <x:v>13</x:v>
      </x:c>
      <x:c r="B17" s="32" t="str">
        <x:v>데이터</x:v>
      </x:c>
      <x:c r="C17" s="32" t="str">
        <x:v>평가 데이터</x:v>
      </x:c>
      <x:c r="D17" s="32" t="str">
        <x:v>evaluation_adversarial_round2.json</x:v>
      </x:c>
      <x:c r="E17" s="32" t="str">
        <x:v>AI_Finance_Sec/public/data/evaluation_adversarial_round2.json</x:v>
      </x:c>
      <x:c r="F17" s="32" t="str">
        <x:v>자동 회귀·홀드아웃 데이터</x:v>
      </x:c>
      <x:c r="G17" s="32" t="str">
        <x:v>분류, RAG, 피해대응, 경계·멀티턴 동작을 양 엔진 테스트에서 검증</x:v>
      </x:c>
      <x:c r="H17" s="32" t="str">
        <x:v>TS·Python 테스트</x:v>
      </x:c>
      <x:c r="I17" s="32" t="str">
        <x:v>검증 자산</x:v>
      </x:c>
      <x:c r="J17" s="32" t="str">
        <x:v>유지</x:v>
      </x:c>
      <x:c r="K17" s="32" t="str">
        <x:v>P0</x:v>
      </x:c>
      <x:c r="L17" s="32" t="str">
        <x:v>??</x:v>
      </x:c>
      <x:c r="M17" s="34" t="n">
        <x:v>46247.272795219906</x:v>
      </x:c>
      <x:c r="N17" s="36" t="n">
        <x:v>3</x:v>
      </x:c>
      <x:c r="O17" s="32" t="str"/>
    </x:row>
    <x:row r="18" ht="42" customHeight="1">
      <x:c r="A18" s="32" t="n">
        <x:v>14</x:v>
      </x:c>
      <x:c r="B18" s="32" t="str">
        <x:v>데이터</x:v>
      </x:c>
      <x:c r="C18" s="32" t="str">
        <x:v>평가 데이터</x:v>
      </x:c>
      <x:c r="D18" s="32" t="str">
        <x:v>evaluation_adversarial_round3.json</x:v>
      </x:c>
      <x:c r="E18" s="32" t="str">
        <x:v>AI_Finance_Sec/public/data/evaluation_adversarial_round3.json</x:v>
      </x:c>
      <x:c r="F18" s="32" t="str">
        <x:v>자동 회귀·홀드아웃 데이터</x:v>
      </x:c>
      <x:c r="G18" s="32" t="str">
        <x:v>분류, RAG, 피해대응, 경계·멀티턴 동작을 양 엔진 테스트에서 검증</x:v>
      </x:c>
      <x:c r="H18" s="32" t="str">
        <x:v>TS·Python 테스트</x:v>
      </x:c>
      <x:c r="I18" s="32" t="str">
        <x:v>검증 자산</x:v>
      </x:c>
      <x:c r="J18" s="32" t="str">
        <x:v>유지</x:v>
      </x:c>
      <x:c r="K18" s="32" t="str">
        <x:v>P0</x:v>
      </x:c>
      <x:c r="L18" s="32" t="str">
        <x:v>??</x:v>
      </x:c>
      <x:c r="M18" s="34" t="n">
        <x:v>46247.27445996528</x:v>
      </x:c>
      <x:c r="N18" s="36" t="n">
        <x:v>3.646484375</x:v>
      </x:c>
      <x:c r="O18" s="32" t="str"/>
    </x:row>
    <x:row r="19" ht="42" customHeight="1">
      <x:c r="A19" s="32" t="n">
        <x:v>15</x:v>
      </x:c>
      <x:c r="B19" s="32" t="str">
        <x:v>데이터</x:v>
      </x:c>
      <x:c r="C19" s="32" t="str">
        <x:v>블라인드 평가</x:v>
      </x:c>
      <x:c r="D19" s="32" t="str">
        <x:v>evaluation_blind_round4.json</x:v>
      </x:c>
      <x:c r="E19" s="32" t="str">
        <x:v>AI_Finance_Sec/public/data/evaluation_blind_round4.json</x:v>
      </x:c>
      <x:c r="F19" s="32" t="str">
        <x:v>4차 블라인드 케이스</x:v>
      </x:c>
      <x:c r="G19" s="32" t="str">
        <x:v>현재 엔진·자동테스트에서 직접 참조되지 않아 QA 편입 여부를 결정해야 함</x:v>
      </x:c>
      <x:c r="H19" s="32" t="str">
        <x:v>현재 미참조</x:v>
      </x:c>
      <x:c r="I19" s="32" t="str">
        <x:v>보관 후보</x:v>
      </x:c>
      <x:c r="J19" s="32" t="str">
        <x:v>보관 검토</x:v>
      </x:c>
      <x:c r="K19" s="32" t="str">
        <x:v>P1</x:v>
      </x:c>
      <x:c r="L19" s="32" t="str">
        <x:v>??</x:v>
      </x:c>
      <x:c r="M19" s="34" t="n">
        <x:v>46247.27933204861</x:v>
      </x:c>
      <x:c r="N19" s="36" t="n">
        <x:v>5.6630859375</x:v>
      </x:c>
      <x:c r="O19" s="32" t="str">
        <x:v>삭제 전 참조·빌드 재검증</x:v>
      </x:c>
    </x:row>
    <x:row r="20" ht="42" customHeight="1">
      <x:c r="A20" s="32" t="n">
        <x:v>16</x:v>
      </x:c>
      <x:c r="B20" s="32" t="str">
        <x:v>데이터</x:v>
      </x:c>
      <x:c r="C20" s="32" t="str">
        <x:v>평가 데이터</x:v>
      </x:c>
      <x:c r="D20" s="32" t="str">
        <x:v>evaluation_cases.json</x:v>
      </x:c>
      <x:c r="E20" s="32" t="str">
        <x:v>AI_Finance_Sec/public/data/evaluation_cases.json</x:v>
      </x:c>
      <x:c r="F20" s="32" t="str">
        <x:v>자동 회귀·홀드아웃 데이터</x:v>
      </x:c>
      <x:c r="G20" s="32" t="str">
        <x:v>분류, RAG, 피해대응, 경계·멀티턴 동작을 양 엔진 테스트에서 검증</x:v>
      </x:c>
      <x:c r="H20" s="32" t="str">
        <x:v>TS·Python 테스트</x:v>
      </x:c>
      <x:c r="I20" s="32" t="str">
        <x:v>검증 자산</x:v>
      </x:c>
      <x:c r="J20" s="32" t="str">
        <x:v>유지</x:v>
      </x:c>
      <x:c r="K20" s="32" t="str">
        <x:v>P0</x:v>
      </x:c>
      <x:c r="L20" s="32" t="str">
        <x:v>M</x:v>
      </x:c>
      <x:c r="M20" s="34" t="n">
        <x:v>46247.25416033565</x:v>
      </x:c>
      <x:c r="N20" s="36" t="n">
        <x:v>13.7919921875</x:v>
      </x:c>
      <x:c r="O20" s="32" t="str"/>
    </x:row>
    <x:row r="21" ht="42" customHeight="1">
      <x:c r="A21" s="32" t="n">
        <x:v>17</x:v>
      </x:c>
      <x:c r="B21" s="32" t="str">
        <x:v>데이터</x:v>
      </x:c>
      <x:c r="C21" s="32" t="str">
        <x:v>평가 데이터</x:v>
      </x:c>
      <x:c r="D21" s="32" t="str">
        <x:v>evaluation_holdout.json</x:v>
      </x:c>
      <x:c r="E21" s="32" t="str">
        <x:v>AI_Finance_Sec/public/data/evaluation_holdout.json</x:v>
      </x:c>
      <x:c r="F21" s="32" t="str">
        <x:v>자동 회귀·홀드아웃 데이터</x:v>
      </x:c>
      <x:c r="G21" s="32" t="str">
        <x:v>분류, RAG, 피해대응, 경계·멀티턴 동작을 양 엔진 테스트에서 검증</x:v>
      </x:c>
      <x:c r="H21" s="32" t="str">
        <x:v>TS·Python 테스트</x:v>
      </x:c>
      <x:c r="I21" s="32" t="str">
        <x:v>검증 자산</x:v>
      </x:c>
      <x:c r="J21" s="32" t="str">
        <x:v>유지</x:v>
      </x:c>
      <x:c r="K21" s="32" t="str">
        <x:v>P0</x:v>
      </x:c>
      <x:c r="L21" s="32" t="str">
        <x:v>??</x:v>
      </x:c>
      <x:c r="M21" s="34" t="n">
        <x:v>46247.2629134838</x:v>
      </x:c>
      <x:c r="N21" s="36" t="n">
        <x:v>12.3505859375</x:v>
      </x:c>
      <x:c r="O21" s="32" t="str"/>
    </x:row>
    <x:row r="22" ht="42" customHeight="1">
      <x:c r="A22" s="32" t="n">
        <x:v>18</x:v>
      </x:c>
      <x:c r="B22" s="32" t="str">
        <x:v>검증</x:v>
      </x:c>
      <x:c r="C22" s="32" t="str">
        <x:v>실호출 점검</x:v>
      </x:c>
      <x:c r="D22" s="32" t="str">
        <x:v>smoke_ollama.py</x:v>
      </x:c>
      <x:c r="E22" s="32" t="str">
        <x:v>AI_Finance_Sec/backend/scripts/smoke_ollama.py</x:v>
      </x:c>
      <x:c r="F22" s="32" t="str">
        <x:v>Ollama 스모크·증적</x:v>
      </x:c>
      <x:c r="G22" s="32" t="str">
        <x:v>로컬 Qwen과 FastAPI 실호출 상태 및 정책 응답을 확인</x:v>
      </x:c>
      <x:c r="H22" s="32" t="str">
        <x:v>수동 스모크</x:v>
      </x:c>
      <x:c r="I22" s="32" t="str">
        <x:v>검증 도구</x:v>
      </x:c>
      <x:c r="J22" s="32" t="str">
        <x:v>유지</x:v>
      </x:c>
      <x:c r="K22" s="32" t="str">
        <x:v>P1</x:v>
      </x:c>
      <x:c r="L22" s="32" t="str">
        <x:v>추적·변경없음</x:v>
      </x:c>
      <x:c r="M22" s="34" t="n">
        <x:v>46239.162218530095</x:v>
      </x:c>
      <x:c r="N22" s="36" t="n">
        <x:v>6.8330078125</x:v>
      </x:c>
      <x:c r="O22" s="32" t="str"/>
    </x:row>
    <x:row r="23" ht="42" customHeight="1">
      <x:c r="A23" s="32" t="n">
        <x:v>19</x:v>
      </x:c>
      <x:c r="B23" s="32" t="str">
        <x:v>검증</x:v>
      </x:c>
      <x:c r="C23" s="32" t="str">
        <x:v>실호출 점검</x:v>
      </x:c>
      <x:c r="D23" s="32" t="str">
        <x:v>actual_ollama_smoke_2026-08-04.json</x:v>
      </x:c>
      <x:c r="E23" s="32" t="str">
        <x:v>AI_Finance_Sec/backend/smoke/actual_ollama_smoke_2026-08-04.json</x:v>
      </x:c>
      <x:c r="F23" s="32" t="str">
        <x:v>Ollama 스모크·증적</x:v>
      </x:c>
      <x:c r="G23" s="32" t="str">
        <x:v>로컬 Qwen과 FastAPI 실호출 상태 및 정책 응답을 확인</x:v>
      </x:c>
      <x:c r="H23" s="32" t="str">
        <x:v>수동 스모크</x:v>
      </x:c>
      <x:c r="I23" s="32" t="str">
        <x:v>생성 증적</x:v>
      </x:c>
      <x:c r="J23" s="32" t="str">
        <x:v>유지</x:v>
      </x:c>
      <x:c r="K23" s="32" t="str">
        <x:v>P1</x:v>
      </x:c>
      <x:c r="L23" s="32" t="str">
        <x:v>추적·변경없음</x:v>
      </x:c>
      <x:c r="M23" s="34" t="n">
        <x:v>46239.164471550925</x:v>
      </x:c>
      <x:c r="N23" s="36" t="n">
        <x:v>4.7978515625</x:v>
      </x:c>
      <x:c r="O23" s="32" t="str"/>
    </x:row>
    <x:row r="24" ht="42" customHeight="1">
      <x:c r="A24" s="32" t="n">
        <x:v>20</x:v>
      </x:c>
      <x:c r="B24" s="32" t="str">
        <x:v>검증</x:v>
      </x:c>
      <x:c r="C24" s="32" t="str">
        <x:v>실호출 점검</x:v>
      </x:c>
      <x:c r="D24" s="32" t="str">
        <x:v>README.md</x:v>
      </x:c>
      <x:c r="E24" s="32" t="str">
        <x:v>AI_Finance_Sec/backend/smoke/README.md</x:v>
      </x:c>
      <x:c r="F24" s="32" t="str">
        <x:v>Ollama 스모크·증적</x:v>
      </x:c>
      <x:c r="G24" s="32" t="str">
        <x:v>로컬 Qwen과 FastAPI 실호출 상태 및 정책 응답을 확인</x:v>
      </x:c>
      <x:c r="H24" s="32" t="str">
        <x:v>수동 스모크</x:v>
      </x:c>
      <x:c r="I24" s="32" t="str">
        <x:v>검증 도구</x:v>
      </x:c>
      <x:c r="J24" s="32" t="str">
        <x:v>유지</x:v>
      </x:c>
      <x:c r="K24" s="32" t="str">
        <x:v>P1</x:v>
      </x:c>
      <x:c r="L24" s="32" t="str">
        <x:v>추적·변경없음</x:v>
      </x:c>
      <x:c r="M24" s="34" t="n">
        <x:v>46239.16222023148</x:v>
      </x:c>
      <x:c r="N24" s="36" t="n">
        <x:v>1.544921875</x:v>
      </x:c>
      <x:c r="O24" s="32" t="str"/>
    </x:row>
    <x:row r="25" ht="42" customHeight="1">
      <x:c r="A25" s="32" t="n">
        <x:v>21</x:v>
      </x:c>
      <x:c r="B25" s="32" t="str">
        <x:v>검증</x:v>
      </x:c>
      <x:c r="C25" s="32" t="str">
        <x:v>자동 테스트</x:v>
      </x:c>
      <x:c r="D25" s="32" t="str">
        <x:v>__init__.py</x:v>
      </x:c>
      <x:c r="E25" s="32" t="str">
        <x:v>AI_Finance_Sec/backend/tests/__init__.py</x:v>
      </x:c>
      <x:c r="F25" s="32" t="str">
        <x:v>회귀·품질 게이트</x:v>
      </x:c>
      <x:c r="G25" s="32" t="str">
        <x:v>분류·RAG·안전성·렌더링·TS/Python 동등성을 자동 검증</x:v>
      </x:c>
      <x:c r="H25" s="32" t="str">
        <x:v>npm test·pytest</x:v>
      </x:c>
      <x:c r="I25" s="32" t="str">
        <x:v>검증 자산</x:v>
      </x:c>
      <x:c r="J25" s="32" t="str">
        <x:v>유지</x:v>
      </x:c>
      <x:c r="K25" s="32" t="str">
        <x:v>P0</x:v>
      </x:c>
      <x:c r="L25" s="32" t="str">
        <x:v>추적·변경없음</x:v>
      </x:c>
      <x:c r="M25" s="34" t="n">
        <x:v>46238.37064565972</x:v>
      </x:c>
      <x:c r="N25" s="36" t="n">
        <x:v>0.0205078125</x:v>
      </x:c>
      <x:c r="O25" s="32" t="str"/>
    </x:row>
    <x:row r="26" ht="42" customHeight="1">
      <x:c r="A26" s="32" t="n">
        <x:v>22</x:v>
      </x:c>
      <x:c r="B26" s="32" t="str">
        <x:v>검증</x:v>
      </x:c>
      <x:c r="C26" s="32" t="str">
        <x:v>자동 테스트</x:v>
      </x:c>
      <x:c r="D26" s="32" t="str">
        <x:v>test_api.py</x:v>
      </x:c>
      <x:c r="E26" s="32" t="str">
        <x:v>AI_Finance_Sec/backend/tests/test_api.py</x:v>
      </x:c>
      <x:c r="F26" s="32" t="str">
        <x:v>회귀·품질 게이트</x:v>
      </x:c>
      <x:c r="G26" s="32" t="str">
        <x:v>분류·RAG·안전성·렌더링·TS/Python 동등성을 자동 검증</x:v>
      </x:c>
      <x:c r="H26" s="32" t="str">
        <x:v>npm test·pytest</x:v>
      </x:c>
      <x:c r="I26" s="32" t="str">
        <x:v>검증 자산</x:v>
      </x:c>
      <x:c r="J26" s="32" t="str">
        <x:v>유지</x:v>
      </x:c>
      <x:c r="K26" s="32" t="str">
        <x:v>P0</x:v>
      </x:c>
      <x:c r="L26" s="32" t="str">
        <x:v>M</x:v>
      </x:c>
      <x:c r="M26" s="34" t="n">
        <x:v>46247.27989708333</x:v>
      </x:c>
      <x:c r="N26" s="36" t="n">
        <x:v>25.888671875</x:v>
      </x:c>
      <x:c r="O26" s="32" t="str"/>
    </x:row>
    <x:row r="27" ht="42" customHeight="1">
      <x:c r="A27" s="32" t="n">
        <x:v>23</x:v>
      </x:c>
      <x:c r="B27" s="32" t="str">
        <x:v>검증</x:v>
      </x:c>
      <x:c r="C27" s="32" t="str">
        <x:v>자동 테스트</x:v>
      </x:c>
      <x:c r="D27" s="32" t="str">
        <x:v>engine.test.mjs</x:v>
      </x:c>
      <x:c r="E27" s="32" t="str">
        <x:v>AI_Finance_Sec/tests/engine.test.mjs</x:v>
      </x:c>
      <x:c r="F27" s="32" t="str">
        <x:v>회귀·품질 게이트</x:v>
      </x:c>
      <x:c r="G27" s="32" t="str">
        <x:v>분류·RAG·안전성·렌더링·TS/Python 동등성을 자동 검증</x:v>
      </x:c>
      <x:c r="H27" s="32" t="str">
        <x:v>npm test·pytest</x:v>
      </x:c>
      <x:c r="I27" s="32" t="str">
        <x:v>검증 자산</x:v>
      </x:c>
      <x:c r="J27" s="32" t="str">
        <x:v>유지</x:v>
      </x:c>
      <x:c r="K27" s="32" t="str">
        <x:v>P0</x:v>
      </x:c>
      <x:c r="L27" s="32" t="str">
        <x:v>M</x:v>
      </x:c>
      <x:c r="M27" s="34" t="n">
        <x:v>46247.27227530093</x:v>
      </x:c>
      <x:c r="N27" s="36" t="n">
        <x:v>11.9912109375</x:v>
      </x:c>
      <x:c r="O27" s="32" t="str"/>
    </x:row>
    <x:row r="28" ht="42" customHeight="1">
      <x:c r="A28" s="32" t="n">
        <x:v>24</x:v>
      </x:c>
      <x:c r="B28" s="32" t="str">
        <x:v>검증</x:v>
      </x:c>
      <x:c r="C28" s="32" t="str">
        <x:v>자동 테스트</x:v>
      </x:c>
      <x:c r="D28" s="32" t="str">
        <x:v>rendered-html.test.mjs</x:v>
      </x:c>
      <x:c r="E28" s="32" t="str">
        <x:v>AI_Finance_Sec/tests/rendered-html.test.mjs</x:v>
      </x:c>
      <x:c r="F28" s="32" t="str">
        <x:v>회귀·품질 게이트</x:v>
      </x:c>
      <x:c r="G28" s="32" t="str">
        <x:v>분류·RAG·안전성·렌더링·TS/Python 동등성을 자동 검증</x:v>
      </x:c>
      <x:c r="H28" s="32" t="str">
        <x:v>npm test·pytest</x:v>
      </x:c>
      <x:c r="I28" s="32" t="str">
        <x:v>검증 자산</x:v>
      </x:c>
      <x:c r="J28" s="32" t="str">
        <x:v>유지</x:v>
      </x:c>
      <x:c r="K28" s="32" t="str">
        <x:v>P0</x:v>
      </x:c>
      <x:c r="L28" s="32" t="str">
        <x:v>추적·변경없음</x:v>
      </x:c>
      <x:c r="M28" s="34" t="n">
        <x:v>46238.41682076389</x:v>
      </x:c>
      <x:c r="N28" s="36" t="n">
        <x:v>2.78125</x:v>
      </x:c>
      <x:c r="O28" s="32" t="str"/>
    </x:row>
    <x:row r="29" ht="42" customHeight="1">
      <x:c r="A29" s="32" t="n">
        <x:v>25</x:v>
      </x:c>
      <x:c r="B29" s="32" t="str">
        <x:v>설정·의존성</x:v>
      </x:c>
      <x:c r="C29" s="32" t="str">
        <x:v>개발 설정</x:v>
      </x:c>
      <x:c r="D29" s="32" t="str">
        <x:v>.gitignore</x:v>
      </x:c>
      <x:c r="E29" s="32" t="str">
        <x:v>AI_Finance_Sec/.gitignore</x:v>
      </x:c>
      <x:c r="F29" s="32" t="str">
        <x:v>개발·빌드 환경 설정</x:v>
      </x:c>
      <x:c r="G29" s="32" t="str">
        <x:v>패키지, 타입검사, 린트, CSS 처리 또는 형상관리 제외 규칙</x:v>
      </x:c>
      <x:c r="H29" s="32" t="str">
        <x:v>개발·CI</x:v>
      </x:c>
      <x:c r="I29" s="32" t="str">
        <x:v>환경 기준</x:v>
      </x:c>
      <x:c r="J29" s="32" t="str">
        <x:v>유지</x:v>
      </x:c>
      <x:c r="K29" s="32" t="str">
        <x:v>P1</x:v>
      </x:c>
      <x:c r="L29" s="32" t="str">
        <x:v>추적·변경없음</x:v>
      </x:c>
      <x:c r="M29" s="34" t="n">
        <x:v>46238.422661689816</x:v>
      </x:c>
      <x:c r="N29" s="36" t="n">
        <x:v>0.53125</x:v>
      </x:c>
      <x:c r="O29" s="32" t="str"/>
    </x:row>
    <x:row r="30" ht="42" customHeight="1">
      <x:c r="A30" s="32" t="n">
        <x:v>26</x:v>
      </x:c>
      <x:c r="B30" s="32" t="str">
        <x:v>설정·의존성</x:v>
      </x:c>
      <x:c r="C30" s="32" t="str">
        <x:v>개발 설정</x:v>
      </x:c>
      <x:c r="D30" s="32" t="str">
        <x:v>eslint.config.mjs</x:v>
      </x:c>
      <x:c r="E30" s="32" t="str">
        <x:v>AI_Finance_Sec/eslint.config.mjs</x:v>
      </x:c>
      <x:c r="F30" s="32" t="str">
        <x:v>개발·빌드 환경 설정</x:v>
      </x:c>
      <x:c r="G30" s="32" t="str">
        <x:v>패키지, 타입검사, 린트, CSS 처리 또는 형상관리 제외 규칙</x:v>
      </x:c>
      <x:c r="H30" s="32" t="str">
        <x:v>개발·CI</x:v>
      </x:c>
      <x:c r="I30" s="32" t="str">
        <x:v>환경 기준</x:v>
      </x:c>
      <x:c r="J30" s="32" t="str">
        <x:v>유지</x:v>
      </x:c>
      <x:c r="K30" s="32" t="str">
        <x:v>P1</x:v>
      </x:c>
      <x:c r="L30" s="32" t="str">
        <x:v>추적·변경없음</x:v>
      </x:c>
      <x:c r="M30" s="34" t="n">
        <x:v>46236.47981399306</x:v>
      </x:c>
      <x:c r="N30" s="36" t="n">
        <x:v>0.4541015625</x:v>
      </x:c>
      <x:c r="O30" s="32" t="str"/>
    </x:row>
    <x:row r="31" ht="42" customHeight="1">
      <x:c r="A31" s="32" t="n">
        <x:v>27</x:v>
      </x:c>
      <x:c r="B31" s="32" t="str">
        <x:v>설정·의존성</x:v>
      </x:c>
      <x:c r="C31" s="32" t="str">
        <x:v>Lockfile</x:v>
      </x:c>
      <x:c r="D31" s="32" t="str">
        <x:v>package-lock.json</x:v>
      </x:c>
      <x:c r="E31" s="32" t="str">
        <x:v>AI_Finance_Sec/package-lock.json</x:v>
      </x:c>
      <x:c r="F31" s="32" t="str">
        <x:v>npm 의존성 잠금</x:v>
      </x:c>
      <x:c r="G31" s="32" t="str">
        <x:v>pnpm-lock.yaml과 중복 관리 중. 기준 패키지 매니저 확정 후 단일화 검토</x:v>
      </x:c>
      <x:c r="H31" s="32" t="str">
        <x:v>npm</x:v>
      </x:c>
      <x:c r="I31" s="32" t="str">
        <x:v>중복 관리</x:v>
      </x:c>
      <x:c r="J31" s="32" t="str">
        <x:v>정리 검토</x:v>
      </x:c>
      <x:c r="K31" s="32" t="str">
        <x:v>P2</x:v>
      </x:c>
      <x:c r="L31" s="32" t="str">
        <x:v>추적·변경없음</x:v>
      </x:c>
      <x:c r="M31" s="34" t="n">
        <x:v>46236.47981388889</x:v>
      </x:c>
      <x:c r="N31" s="36" t="n">
        <x:v>371.658203125</x:v>
      </x:c>
      <x:c r="O31" s="32" t="str"/>
    </x:row>
    <x:row r="32" ht="42" customHeight="1">
      <x:c r="A32" s="32" t="n">
        <x:v>28</x:v>
      </x:c>
      <x:c r="B32" s="32" t="str">
        <x:v>설정·의존성</x:v>
      </x:c>
      <x:c r="C32" s="32" t="str">
        <x:v>개발 설정</x:v>
      </x:c>
      <x:c r="D32" s="32" t="str">
        <x:v>package.json</x:v>
      </x:c>
      <x:c r="E32" s="32" t="str">
        <x:v>AI_Finance_Sec/package.json</x:v>
      </x:c>
      <x:c r="F32" s="32" t="str">
        <x:v>개발·빌드 환경 설정</x:v>
      </x:c>
      <x:c r="G32" s="32" t="str">
        <x:v>패키지, 타입검사, 린트, CSS 처리 또는 형상관리 제외 규칙</x:v>
      </x:c>
      <x:c r="H32" s="32" t="str">
        <x:v>개발·CI</x:v>
      </x:c>
      <x:c r="I32" s="32" t="str">
        <x:v>환경 기준</x:v>
      </x:c>
      <x:c r="J32" s="32" t="str">
        <x:v>유지</x:v>
      </x:c>
      <x:c r="K32" s="32" t="str">
        <x:v>P1</x:v>
      </x:c>
      <x:c r="L32" s="32" t="str">
        <x:v>추적·변경없음</x:v>
      </x:c>
      <x:c r="M32" s="34" t="n">
        <x:v>46238.37171158565</x:v>
      </x:c>
      <x:c r="N32" s="36" t="n">
        <x:v>1.2890625</x:v>
      </x:c>
      <x:c r="O32" s="32" t="str"/>
    </x:row>
    <x:row r="33" ht="42" customHeight="1">
      <x:c r="A33" s="32" t="n">
        <x:v>29</x:v>
      </x:c>
      <x:c r="B33" s="32" t="str">
        <x:v>설정·의존성</x:v>
      </x:c>
      <x:c r="C33" s="32" t="str">
        <x:v>Lockfile</x:v>
      </x:c>
      <x:c r="D33" s="32" t="str">
        <x:v>pnpm-lock.yaml</x:v>
      </x:c>
      <x:c r="E33" s="32" t="str">
        <x:v>AI_Finance_Sec/pnpm-lock.yaml</x:v>
      </x:c>
      <x:c r="F33" s="32" t="str">
        <x:v>pnpm 의존성 잠금</x:v>
      </x:c>
      <x:c r="G33" s="32" t="str">
        <x:v>현재 설치·빌드 재현을 위한 pnpm 기준 잠금 파일</x:v>
      </x:c>
      <x:c r="H33" s="32" t="str">
        <x:v>pnpm</x:v>
      </x:c>
      <x:c r="I33" s="32" t="str">
        <x:v>재현성 기준</x:v>
      </x:c>
      <x:c r="J33" s="32" t="str">
        <x:v>유지</x:v>
      </x:c>
      <x:c r="K33" s="32" t="str">
        <x:v>P1</x:v>
      </x:c>
      <x:c r="L33" s="32" t="str">
        <x:v>추적·변경없음</x:v>
      </x:c>
      <x:c r="M33" s="34" t="n">
        <x:v>46236.48369715278</x:v>
      </x:c>
      <x:c r="N33" s="36" t="n">
        <x:v>220.5869140625</x:v>
      </x:c>
      <x:c r="O33" s="32" t="str"/>
    </x:row>
    <x:row r="34" ht="42" customHeight="1">
      <x:c r="A34" s="32" t="n">
        <x:v>30</x:v>
      </x:c>
      <x:c r="B34" s="32" t="str">
        <x:v>설정·의존성</x:v>
      </x:c>
      <x:c r="C34" s="32" t="str">
        <x:v>개발 설정</x:v>
      </x:c>
      <x:c r="D34" s="32" t="str">
        <x:v>pnpm-workspace.yaml</x:v>
      </x:c>
      <x:c r="E34" s="32" t="str">
        <x:v>AI_Finance_Sec/pnpm-workspace.yaml</x:v>
      </x:c>
      <x:c r="F34" s="32" t="str">
        <x:v>개발·빌드 환경 설정</x:v>
      </x:c>
      <x:c r="G34" s="32" t="str">
        <x:v>패키지, 타입검사, 린트, CSS 처리 또는 형상관리 제외 규칙</x:v>
      </x:c>
      <x:c r="H34" s="32" t="str">
        <x:v>개발·CI</x:v>
      </x:c>
      <x:c r="I34" s="32" t="str">
        <x:v>환경 기준</x:v>
      </x:c>
      <x:c r="J34" s="32" t="str">
        <x:v>유지</x:v>
      </x:c>
      <x:c r="K34" s="32" t="str">
        <x:v>P1</x:v>
      </x:c>
      <x:c r="L34" s="32" t="str">
        <x:v>추적·변경없음</x:v>
      </x:c>
      <x:c r="M34" s="34" t="n">
        <x:v>46236.483698425924</x:v>
      </x:c>
      <x:c r="N34" s="36" t="n">
        <x:v>0.1611328125</x:v>
      </x:c>
      <x:c r="O34" s="32" t="str"/>
    </x:row>
    <x:row r="35" ht="42" customHeight="1">
      <x:c r="A35" s="32" t="n">
        <x:v>31</x:v>
      </x:c>
      <x:c r="B35" s="32" t="str">
        <x:v>설정·의존성</x:v>
      </x:c>
      <x:c r="C35" s="32" t="str">
        <x:v>개발 설정</x:v>
      </x:c>
      <x:c r="D35" s="32" t="str">
        <x:v>postcss.config.mjs</x:v>
      </x:c>
      <x:c r="E35" s="32" t="str">
        <x:v>AI_Finance_Sec/postcss.config.mjs</x:v>
      </x:c>
      <x:c r="F35" s="32" t="str">
        <x:v>개발·빌드 환경 설정</x:v>
      </x:c>
      <x:c r="G35" s="32" t="str">
        <x:v>패키지, 타입검사, 린트, CSS 처리 또는 형상관리 제외 규칙</x:v>
      </x:c>
      <x:c r="H35" s="32" t="str">
        <x:v>개발·CI</x:v>
      </x:c>
      <x:c r="I35" s="32" t="str">
        <x:v>환경 기준</x:v>
      </x:c>
      <x:c r="J35" s="32" t="str">
        <x:v>유지</x:v>
      </x:c>
      <x:c r="K35" s="32" t="str">
        <x:v>P1</x:v>
      </x:c>
      <x:c r="L35" s="32" t="str">
        <x:v>추적·변경없음</x:v>
      </x:c>
      <x:c r="M35" s="34" t="n">
        <x:v>46236.47981383102</x:v>
      </x:c>
      <x:c r="N35" s="36" t="n">
        <x:v>0.091796875</x:v>
      </x:c>
      <x:c r="O35" s="32" t="str"/>
    </x:row>
    <x:row r="36" ht="42" customHeight="1">
      <x:c r="A36" s="32" t="n">
        <x:v>32</x:v>
      </x:c>
      <x:c r="B36" s="32" t="str">
        <x:v>설정·의존성</x:v>
      </x:c>
      <x:c r="C36" s="32" t="str">
        <x:v>개발 설정</x:v>
      </x:c>
      <x:c r="D36" s="32" t="str">
        <x:v>tsconfig.json</x:v>
      </x:c>
      <x:c r="E36" s="32" t="str">
        <x:v>AI_Finance_Sec/tsconfig.json</x:v>
      </x:c>
      <x:c r="F36" s="32" t="str">
        <x:v>개발·빌드 환경 설정</x:v>
      </x:c>
      <x:c r="G36" s="32" t="str">
        <x:v>패키지, 타입검사, 린트, CSS 처리 또는 형상관리 제외 규칙</x:v>
      </x:c>
      <x:c r="H36" s="32" t="str">
        <x:v>개발·CI</x:v>
      </x:c>
      <x:c r="I36" s="32" t="str">
        <x:v>환경 기준</x:v>
      </x:c>
      <x:c r="J36" s="32" t="str">
        <x:v>유지</x:v>
      </x:c>
      <x:c r="K36" s="32" t="str">
        <x:v>P1</x:v>
      </x:c>
      <x:c r="L36" s="32" t="str">
        <x:v>추적·변경없음</x:v>
      </x:c>
      <x:c r="M36" s="34" t="n">
        <x:v>46236.47981394676</x:v>
      </x:c>
      <x:c r="N36" s="36" t="n">
        <x:v>0.650390625</x:v>
      </x:c>
      <x:c r="O36" s="32" t="str"/>
    </x:row>
    <x:row r="37" ht="42" customHeight="1">
      <x:c r="A37" s="32" t="n">
        <x:v>33</x:v>
      </x:c>
      <x:c r="B37" s="32" t="str">
        <x:v>배포·빌드</x:v>
      </x:c>
      <x:c r="C37" s="32" t="str">
        <x:v>배포 런타임</x:v>
      </x:c>
      <x:c r="D37" s="32" t="str">
        <x:v>hosting.json</x:v>
      </x:c>
      <x:c r="E37" s="32" t="str">
        <x:v>AI_Finance_Sec/.openai/hosting.json</x:v>
      </x:c>
      <x:c r="F37" s="32" t="str">
        <x:v>Sites·Cloudflare 빌드/실행</x:v>
      </x:c>
      <x:c r="G37" s="32" t="str">
        <x:v>Vinext 결과물을 배포 런타임에 연결하는 설정 또는 진입점</x:v>
      </x:c>
      <x:c r="H37" s="32" t="str">
        <x:v>빌드·배포</x:v>
      </x:c>
      <x:c r="I37" s="32" t="str">
        <x:v>배포 필수</x:v>
      </x:c>
      <x:c r="J37" s="32" t="str">
        <x:v>유지</x:v>
      </x:c>
      <x:c r="K37" s="32" t="str">
        <x:v>P0</x:v>
      </x:c>
      <x:c r="L37" s="32" t="str">
        <x:v>추적·변경없음</x:v>
      </x:c>
      <x:c r="M37" s="34" t="n">
        <x:v>46236.49474920139</x:v>
      </x:c>
      <x:c r="N37" s="36" t="n">
        <x:v>0.0888671875</x:v>
      </x:c>
      <x:c r="O37" s="32" t="str"/>
    </x:row>
    <x:row r="38" ht="42" customHeight="1">
      <x:c r="A38" s="32" t="n">
        <x:v>34</x:v>
      </x:c>
      <x:c r="B38" s="32" t="str">
        <x:v>배포·빌드</x:v>
      </x:c>
      <x:c r="C38" s="32" t="str">
        <x:v>배포 런타임</x:v>
      </x:c>
      <x:c r="D38" s="32" t="str">
        <x:v>sites-vite-plugin.ts</x:v>
      </x:c>
      <x:c r="E38" s="32" t="str">
        <x:v>AI_Finance_Sec/build/sites-vite-plugin.ts</x:v>
      </x:c>
      <x:c r="F38" s="32" t="str">
        <x:v>Sites·Cloudflare 빌드/실행</x:v>
      </x:c>
      <x:c r="G38" s="32" t="str">
        <x:v>Vinext 결과물을 배포 런타임에 연결하는 설정 또는 진입점</x:v>
      </x:c>
      <x:c r="H38" s="32" t="str">
        <x:v>빌드·배포</x:v>
      </x:c>
      <x:c r="I38" s="32" t="str">
        <x:v>배포 필수</x:v>
      </x:c>
      <x:c r="J38" s="32" t="str">
        <x:v>유지</x:v>
      </x:c>
      <x:c r="K38" s="32" t="str">
        <x:v>P0</x:v>
      </x:c>
      <x:c r="L38" s="32" t="str">
        <x:v>추적·변경없음</x:v>
      </x:c>
      <x:c r="M38" s="34" t="n">
        <x:v>46236.479813969905</x:v>
      </x:c>
      <x:c r="N38" s="36" t="n">
        <x:v>1.224609375</x:v>
      </x:c>
      <x:c r="O38" s="32" t="str"/>
    </x:row>
    <x:row r="39" ht="42" customHeight="1">
      <x:c r="A39" s="32" t="n">
        <x:v>35</x:v>
      </x:c>
      <x:c r="B39" s="32" t="str">
        <x:v>배포·빌드</x:v>
      </x:c>
      <x:c r="C39" s="32" t="str">
        <x:v>DB 스캐폴드</x:v>
      </x:c>
      <x:c r="D39" s="32" t="str">
        <x:v>index.ts</x:v>
      </x:c>
      <x:c r="E39" s="32" t="str">
        <x:v>AI_Finance_Sec/db/index.ts</x:v>
      </x:c>
      <x:c r="F39" s="32" t="str">
        <x:v>D1·Drizzle 참고/준비 코드</x:v>
      </x:c>
      <x:c r="G39" s="32" t="str">
        <x:v>현재 핵심 챗봇에서 직접 사용하지 않는 영속화 템플릿 또는 마이그레이션 메타정보</x:v>
      </x:c>
      <x:c r="H39" s="32" t="str">
        <x:v>향후 P2</x:v>
      </x:c>
      <x:c r="I39" s="32" t="str">
        <x:v>보관 후보</x:v>
      </x:c>
      <x:c r="J39" s="32" t="str">
        <x:v>보관 검토</x:v>
      </x:c>
      <x:c r="K39" s="32" t="str">
        <x:v>P2</x:v>
      </x:c>
      <x:c r="L39" s="32" t="str">
        <x:v>추적·변경없음</x:v>
      </x:c>
      <x:c r="M39" s="34" t="n">
        <x:v>46236.47981394676</x:v>
      </x:c>
      <x:c r="N39" s="36" t="n">
        <x:v>0.4130859375</x:v>
      </x:c>
      <x:c r="O39" s="32" t="str">
        <x:v>삭제 전 참조·빌드 재검증</x:v>
      </x:c>
    </x:row>
    <x:row r="40" ht="42" customHeight="1">
      <x:c r="A40" s="32" t="n">
        <x:v>36</x:v>
      </x:c>
      <x:c r="B40" s="32" t="str">
        <x:v>배포·빌드</x:v>
      </x:c>
      <x:c r="C40" s="32" t="str">
        <x:v>DB 스캐폴드</x:v>
      </x:c>
      <x:c r="D40" s="32" t="str">
        <x:v>schema.ts</x:v>
      </x:c>
      <x:c r="E40" s="32" t="str">
        <x:v>AI_Finance_Sec/db/schema.ts</x:v>
      </x:c>
      <x:c r="F40" s="32" t="str">
        <x:v>D1·Drizzle 참고/준비 코드</x:v>
      </x:c>
      <x:c r="G40" s="32" t="str">
        <x:v>현재 핵심 챗봇에서 직접 사용하지 않는 영속화 템플릿 또는 마이그레이션 메타정보</x:v>
      </x:c>
      <x:c r="H40" s="32" t="str">
        <x:v>향후 P2</x:v>
      </x:c>
      <x:c r="I40" s="32" t="str">
        <x:v>보관 후보</x:v>
      </x:c>
      <x:c r="J40" s="32" t="str">
        <x:v>보관 검토</x:v>
      </x:c>
      <x:c r="K40" s="32" t="str">
        <x:v>P2</x:v>
      </x:c>
      <x:c r="L40" s="32" t="str">
        <x:v>추적·변경없음</x:v>
      </x:c>
      <x:c r="M40" s="34" t="n">
        <x:v>46236.479813935184</x:v>
      </x:c>
      <x:c r="N40" s="36" t="n">
        <x:v>0.1650390625</x:v>
      </x:c>
      <x:c r="O40" s="32" t="str">
        <x:v>삭제 전 참조·빌드 재검증</x:v>
      </x:c>
    </x:row>
    <x:row r="41" ht="42" customHeight="1">
      <x:c r="A41" s="32" t="n">
        <x:v>37</x:v>
      </x:c>
      <x:c r="B41" s="32" t="str">
        <x:v>배포·빌드</x:v>
      </x:c>
      <x:c r="C41" s="32" t="str">
        <x:v>DB 스캐폴드</x:v>
      </x:c>
      <x:c r="D41" s="32" t="str">
        <x:v>drizzle.config.ts</x:v>
      </x:c>
      <x:c r="E41" s="32" t="str">
        <x:v>AI_Finance_Sec/drizzle.config.ts</x:v>
      </x:c>
      <x:c r="F41" s="32" t="str">
        <x:v>D1·Drizzle 참고/준비 코드</x:v>
      </x:c>
      <x:c r="G41" s="32" t="str">
        <x:v>현재 핵심 챗봇에서 직접 사용하지 않는 영속화 템플릿 또는 마이그레이션 메타정보</x:v>
      </x:c>
      <x:c r="H41" s="32" t="str">
        <x:v>향후 P2</x:v>
      </x:c>
      <x:c r="I41" s="32" t="str">
        <x:v>보관 후보</x:v>
      </x:c>
      <x:c r="J41" s="32" t="str">
        <x:v>보관 검토</x:v>
      </x:c>
      <x:c r="K41" s="32" t="str">
        <x:v>P2</x:v>
      </x:c>
      <x:c r="L41" s="32" t="str">
        <x:v>추적·변경없음</x:v>
      </x:c>
      <x:c r="M41" s="34" t="n">
        <x:v>46236.479813969905</x:v>
      </x:c>
      <x:c r="N41" s="36" t="n">
        <x:v>0.14453125</x:v>
      </x:c>
      <x:c r="O41" s="32" t="str">
        <x:v>삭제 전 참조·빌드 재검증</x:v>
      </x:c>
    </x:row>
    <x:row r="42" ht="42" customHeight="1">
      <x:c r="A42" s="32" t="n">
        <x:v>38</x:v>
      </x:c>
      <x:c r="B42" s="32" t="str">
        <x:v>배포·빌드</x:v>
      </x:c>
      <x:c r="C42" s="32" t="str">
        <x:v>DB 스캐폴드</x:v>
      </x:c>
      <x:c r="D42" s="32" t="str">
        <x:v>_journal.json</x:v>
      </x:c>
      <x:c r="E42" s="32" t="str">
        <x:v>AI_Finance_Sec/drizzle/meta/_journal.json</x:v>
      </x:c>
      <x:c r="F42" s="32" t="str">
        <x:v>D1·Drizzle 참고/준비 코드</x:v>
      </x:c>
      <x:c r="G42" s="32" t="str">
        <x:v>현재 핵심 챗봇에서 직접 사용하지 않는 영속화 템플릿 또는 마이그레이션 메타정보</x:v>
      </x:c>
      <x:c r="H42" s="32" t="str">
        <x:v>향후 P2</x:v>
      </x:c>
      <x:c r="I42" s="32" t="str">
        <x:v>보관 후보</x:v>
      </x:c>
      <x:c r="J42" s="32" t="str">
        <x:v>보관 검토</x:v>
      </x:c>
      <x:c r="K42" s="32" t="str">
        <x:v>P2</x:v>
      </x:c>
      <x:c r="L42" s="32" t="str">
        <x:v>추적·변경없음</x:v>
      </x:c>
      <x:c r="M42" s="34" t="n">
        <x:v>46236.47981400463</x:v>
      </x:c>
      <x:c r="N42" s="36" t="n">
        <x:v>0.0595703125</x:v>
      </x:c>
      <x:c r="O42" s="32" t="str">
        <x:v>삭제 전 참조·빌드 재검증</x:v>
      </x:c>
    </x:row>
    <x:row r="43" ht="42" customHeight="1">
      <x:c r="A43" s="32" t="n">
        <x:v>39</x:v>
      </x:c>
      <x:c r="B43" s="32" t="str">
        <x:v>배포·빌드</x:v>
      </x:c>
      <x:c r="C43" s="32" t="str">
        <x:v>DB 스캐폴드</x:v>
      </x:c>
      <x:c r="D43" s="32" t="str">
        <x:v>route.ts</x:v>
      </x:c>
      <x:c r="E43" s="32" t="str">
        <x:v>AI_Finance_Sec/examples/d1/app/api/notes/route.ts</x:v>
      </x:c>
      <x:c r="F43" s="32" t="str">
        <x:v>D1·Drizzle 참고/준비 코드</x:v>
      </x:c>
      <x:c r="G43" s="32" t="str">
        <x:v>현재 핵심 챗봇에서 직접 사용하지 않는 영속화 템플릿 또는 마이그레이션 메타정보</x:v>
      </x:c>
      <x:c r="H43" s="32" t="str">
        <x:v>향후 P2</x:v>
      </x:c>
      <x:c r="I43" s="32" t="str">
        <x:v>보관 후보</x:v>
      </x:c>
      <x:c r="J43" s="32" t="str">
        <x:v>보관 검토</x:v>
      </x:c>
      <x:c r="K43" s="32" t="str">
        <x:v>P2</x:v>
      </x:c>
      <x:c r="L43" s="32" t="str">
        <x:v>추적·변경없음</x:v>
      </x:c>
      <x:c r="M43" s="34" t="n">
        <x:v>46236.47981392361</x:v>
      </x:c>
      <x:c r="N43" s="36" t="n">
        <x:v>1.66015625</x:v>
      </x:c>
      <x:c r="O43" s="32" t="str">
        <x:v>삭제 전 참조·빌드 재검증</x:v>
      </x:c>
    </x:row>
    <x:row r="44" ht="42" customHeight="1">
      <x:c r="A44" s="32" t="n">
        <x:v>40</x:v>
      </x:c>
      <x:c r="B44" s="32" t="str">
        <x:v>배포·빌드</x:v>
      </x:c>
      <x:c r="C44" s="32" t="str">
        <x:v>DB 스캐폴드</x:v>
      </x:c>
      <x:c r="D44" s="32" t="str">
        <x:v>schema.ts</x:v>
      </x:c>
      <x:c r="E44" s="32" t="str">
        <x:v>AI_Finance_Sec/examples/d1/db/schema.ts</x:v>
      </x:c>
      <x:c r="F44" s="32" t="str">
        <x:v>D1·Drizzle 참고/준비 코드</x:v>
      </x:c>
      <x:c r="G44" s="32" t="str">
        <x:v>현재 핵심 챗봇에서 직접 사용하지 않는 영속화 템플릿 또는 마이그레이션 메타정보</x:v>
      </x:c>
      <x:c r="H44" s="32" t="str">
        <x:v>향후 P2</x:v>
      </x:c>
      <x:c r="I44" s="32" t="str">
        <x:v>보관 후보</x:v>
      </x:c>
      <x:c r="J44" s="32" t="str">
        <x:v>보관 검토</x:v>
      </x:c>
      <x:c r="K44" s="32" t="str">
        <x:v>P2</x:v>
      </x:c>
      <x:c r="L44" s="32" t="str">
        <x:v>추적·변경없음</x:v>
      </x:c>
      <x:c r="M44" s="34" t="n">
        <x:v>46236.479813935184</x:v>
      </x:c>
      <x:c r="N44" s="36" t="n">
        <x:v>0.361328125</x:v>
      </x:c>
      <x:c r="O44" s="32" t="str">
        <x:v>삭제 전 참조·빌드 재검증</x:v>
      </x:c>
    </x:row>
    <x:row r="45" ht="42" customHeight="1">
      <x:c r="A45" s="32" t="n">
        <x:v>41</x:v>
      </x:c>
      <x:c r="B45" s="32" t="str">
        <x:v>배포·빌드</x:v>
      </x:c>
      <x:c r="C45" s="32" t="str">
        <x:v>배포 런타임</x:v>
      </x:c>
      <x:c r="D45" s="32" t="str">
        <x:v>next.config.ts</x:v>
      </x:c>
      <x:c r="E45" s="32" t="str">
        <x:v>AI_Finance_Sec/next.config.ts</x:v>
      </x:c>
      <x:c r="F45" s="32" t="str">
        <x:v>Sites·Cloudflare 빌드/실행</x:v>
      </x:c>
      <x:c r="G45" s="32" t="str">
        <x:v>Vinext 결과물을 배포 런타임에 연결하는 설정 또는 진입점</x:v>
      </x:c>
      <x:c r="H45" s="32" t="str">
        <x:v>빌드·배포</x:v>
      </x:c>
      <x:c r="I45" s="32" t="str">
        <x:v>배포 필수</x:v>
      </x:c>
      <x:c r="J45" s="32" t="str">
        <x:v>유지</x:v>
      </x:c>
      <x:c r="K45" s="32" t="str">
        <x:v>P0</x:v>
      </x:c>
      <x:c r="L45" s="32" t="str">
        <x:v>추적·변경없음</x:v>
      </x:c>
      <x:c r="M45" s="34" t="n">
        <x:v>46236.47981399306</x:v>
      </x:c>
      <x:c r="N45" s="36" t="n">
        <x:v>0.1298828125</x:v>
      </x:c>
      <x:c r="O45" s="32" t="str"/>
    </x:row>
    <x:row r="46" ht="42" customHeight="1">
      <x:c r="A46" s="32" t="n">
        <x:v>42</x:v>
      </x:c>
      <x:c r="B46" s="32" t="str">
        <x:v>배포·빌드</x:v>
      </x:c>
      <x:c r="C46" s="32" t="str">
        <x:v>배포 런타임</x:v>
      </x:c>
      <x:c r="D46" s="32" t="str">
        <x:v>vite.config.ts</x:v>
      </x:c>
      <x:c r="E46" s="32" t="str">
        <x:v>AI_Finance_Sec/vite.config.ts</x:v>
      </x:c>
      <x:c r="F46" s="32" t="str">
        <x:v>Sites·Cloudflare 빌드/실행</x:v>
      </x:c>
      <x:c r="G46" s="32" t="str">
        <x:v>Vinext 결과물을 배포 런타임에 연결하는 설정 또는 진입점</x:v>
      </x:c>
      <x:c r="H46" s="32" t="str">
        <x:v>빌드·배포</x:v>
      </x:c>
      <x:c r="I46" s="32" t="str">
        <x:v>배포 필수</x:v>
      </x:c>
      <x:c r="J46" s="32" t="str">
        <x:v>유지</x:v>
      </x:c>
      <x:c r="K46" s="32" t="str">
        <x:v>P0</x:v>
      </x:c>
      <x:c r="L46" s="32" t="str">
        <x:v>추적·변경없음</x:v>
      </x:c>
      <x:c r="M46" s="34" t="n">
        <x:v>46236.47981398148</x:v>
      </x:c>
      <x:c r="N46" s="36" t="n">
        <x:v>1.6572265625</x:v>
      </x:c>
      <x:c r="O46" s="32" t="str"/>
    </x:row>
    <x:row r="47" ht="42" customHeight="1">
      <x:c r="A47" s="32" t="n">
        <x:v>43</x:v>
      </x:c>
      <x:c r="B47" s="32" t="str">
        <x:v>배포·빌드</x:v>
      </x:c>
      <x:c r="C47" s="32" t="str">
        <x:v>배포 런타임</x:v>
      </x:c>
      <x:c r="D47" s="32" t="str">
        <x:v>index.ts</x:v>
      </x:c>
      <x:c r="E47" s="32" t="str">
        <x:v>AI_Finance_Sec/worker/index.ts</x:v>
      </x:c>
      <x:c r="F47" s="32" t="str">
        <x:v>Sites·Cloudflare 빌드/실행</x:v>
      </x:c>
      <x:c r="G47" s="32" t="str">
        <x:v>Vinext 결과물을 배포 런타임에 연결하는 설정 또는 진입점</x:v>
      </x:c>
      <x:c r="H47" s="32" t="str">
        <x:v>빌드·배포</x:v>
      </x:c>
      <x:c r="I47" s="32" t="str">
        <x:v>배포 필수</x:v>
      </x:c>
      <x:c r="J47" s="32" t="str">
        <x:v>유지</x:v>
      </x:c>
      <x:c r="K47" s="32" t="str">
        <x:v>P0</x:v>
      </x:c>
      <x:c r="L47" s="32" t="str">
        <x:v>추적·변경없음</x:v>
      </x:c>
      <x:c r="M47" s="34" t="n">
        <x:v>46236.47981398148</x:v>
      </x:c>
      <x:c r="N47" s="36" t="n">
        <x:v>1.6904296875</x:v>
      </x:c>
      <x:c r="O47" s="32" t="str"/>
    </x:row>
    <x:row r="48" ht="42" customHeight="1">
      <x:c r="A48" s="32" t="n">
        <x:v>44</x:v>
      </x:c>
      <x:c r="B48" s="32" t="str">
        <x:v>정적 자산</x:v>
      </x:c>
      <x:c r="C48" s="32" t="str">
        <x:v>이미지</x:v>
      </x:c>
      <x:c r="D48" s="32" t="str">
        <x:v>favicon.svg</x:v>
      </x:c>
      <x:c r="E48" s="32" t="str">
        <x:v>AI_Finance_Sec/public/favicon.svg</x:v>
      </x:c>
      <x:c r="F48" s="32" t="str">
        <x:v>웹 정적 자산</x:v>
      </x:c>
      <x:c r="G48" s="32" t="str">
        <x:v>파비콘 또는 Open Graph 등 웹 표시용 정적 자산</x:v>
      </x:c>
      <x:c r="H48" s="32" t="str">
        <x:v>브라우저</x:v>
      </x:c>
      <x:c r="I48" s="32" t="str">
        <x:v>지원 자산</x:v>
      </x:c>
      <x:c r="J48" s="32" t="str">
        <x:v>유지</x:v>
      </x:c>
      <x:c r="K48" s="32" t="str">
        <x:v>P2</x:v>
      </x:c>
      <x:c r="L48" s="32" t="str">
        <x:v>추적·변경없음</x:v>
      </x:c>
      <x:c r="M48" s="34" t="n">
        <x:v>46236.49356570602</x:v>
      </x:c>
      <x:c r="N48" s="36" t="n">
        <x:v>0.26953125</x:v>
      </x:c>
      <x:c r="O48" s="32" t="str"/>
    </x:row>
    <x:row r="49" ht="42" customHeight="1">
      <x:c r="A49" s="32" t="n">
        <x:v>45</x:v>
      </x:c>
      <x:c r="B49" s="32" t="str">
        <x:v>정적 자산</x:v>
      </x:c>
      <x:c r="C49" s="32" t="str">
        <x:v>이미지</x:v>
      </x:c>
      <x:c r="D49" s="32" t="str">
        <x:v>file.svg</x:v>
      </x:c>
      <x:c r="E49" s="32" t="str">
        <x:v>AI_Finance_Sec/public/file.svg</x:v>
      </x:c>
      <x:c r="F49" s="32" t="str">
        <x:v>스타터 이미지</x:v>
      </x:c>
      <x:c r="G49" s="32" t="str">
        <x:v>현재 UI에서 참조되지 않는 기본 스타터 SVG</x:v>
      </x:c>
      <x:c r="H49" s="32" t="str">
        <x:v>브라우저</x:v>
      </x:c>
      <x:c r="I49" s="32" t="str">
        <x:v>보관 후보</x:v>
      </x:c>
      <x:c r="J49" s="32" t="str">
        <x:v>보관 검토</x:v>
      </x:c>
      <x:c r="K49" s="32" t="str">
        <x:v>P2</x:v>
      </x:c>
      <x:c r="L49" s="32" t="str">
        <x:v>추적·변경없음</x:v>
      </x:c>
      <x:c r="M49" s="34" t="n">
        <x:v>46236.47981386574</x:v>
      </x:c>
      <x:c r="N49" s="36" t="n">
        <x:v>0.3818359375</x:v>
      </x:c>
      <x:c r="O49" s="32" t="str">
        <x:v>삭제 전 참조·빌드 재검증</x:v>
      </x:c>
    </x:row>
    <x:row r="50" ht="42" customHeight="1">
      <x:c r="A50" s="32" t="n">
        <x:v>46</x:v>
      </x:c>
      <x:c r="B50" s="32" t="str">
        <x:v>정적 자산</x:v>
      </x:c>
      <x:c r="C50" s="32" t="str">
        <x:v>이미지</x:v>
      </x:c>
      <x:c r="D50" s="32" t="str">
        <x:v>globe.svg</x:v>
      </x:c>
      <x:c r="E50" s="32" t="str">
        <x:v>AI_Finance_Sec/public/globe.svg</x:v>
      </x:c>
      <x:c r="F50" s="32" t="str">
        <x:v>스타터 이미지</x:v>
      </x:c>
      <x:c r="G50" s="32" t="str">
        <x:v>현재 UI에서 참조되지 않는 기본 스타터 SVG</x:v>
      </x:c>
      <x:c r="H50" s="32" t="str">
        <x:v>브라우저</x:v>
      </x:c>
      <x:c r="I50" s="32" t="str">
        <x:v>보관 후보</x:v>
      </x:c>
      <x:c r="J50" s="32" t="str">
        <x:v>보관 검토</x:v>
      </x:c>
      <x:c r="K50" s="32" t="str">
        <x:v>P2</x:v>
      </x:c>
      <x:c r="L50" s="32" t="str">
        <x:v>추적·변경없음</x:v>
      </x:c>
      <x:c r="M50" s="34" t="n">
        <x:v>46236.47981386574</x:v>
      </x:c>
      <x:c r="N50" s="36" t="n">
        <x:v>1.0107421875</x:v>
      </x:c>
      <x:c r="O50" s="32" t="str">
        <x:v>삭제 전 참조·빌드 재검증</x:v>
      </x:c>
    </x:row>
    <x:row r="51" ht="42" customHeight="1">
      <x:c r="A51" s="32" t="n">
        <x:v>47</x:v>
      </x:c>
      <x:c r="B51" s="32" t="str">
        <x:v>정적 자산</x:v>
      </x:c>
      <x:c r="C51" s="32" t="str">
        <x:v>이미지</x:v>
      </x:c>
      <x:c r="D51" s="32" t="str">
        <x:v>og-ai-finance-sec.png</x:v>
      </x:c>
      <x:c r="E51" s="32" t="str">
        <x:v>AI_Finance_Sec/public/og-ai-finance-sec.png</x:v>
      </x:c>
      <x:c r="F51" s="32" t="str">
        <x:v>웹 정적 자산</x:v>
      </x:c>
      <x:c r="G51" s="32" t="str">
        <x:v>파비콘 또는 Open Graph 등 웹 표시용 정적 자산</x:v>
      </x:c>
      <x:c r="H51" s="32" t="str">
        <x:v>브라우저</x:v>
      </x:c>
      <x:c r="I51" s="32" t="str">
        <x:v>지원 자산</x:v>
      </x:c>
      <x:c r="J51" s="32" t="str">
        <x:v>유지</x:v>
      </x:c>
      <x:c r="K51" s="32" t="str">
        <x:v>P2</x:v>
      </x:c>
      <x:c r="L51" s="32" t="str">
        <x:v>추적·변경없음</x:v>
      </x:c>
      <x:c r="M51" s="34" t="n">
        <x:v>46237.27738523148</x:v>
      </x:c>
      <x:c r="N51" s="36" t="n">
        <x:v>958.6953125</x:v>
      </x:c>
      <x:c r="O51" s="32" t="str"/>
    </x:row>
    <x:row r="52" ht="42" customHeight="1">
      <x:c r="A52" s="32" t="n">
        <x:v>48</x:v>
      </x:c>
      <x:c r="B52" s="32" t="str">
        <x:v>정적 자산</x:v>
      </x:c>
      <x:c r="C52" s="32" t="str">
        <x:v>이미지</x:v>
      </x:c>
      <x:c r="D52" s="32" t="str">
        <x:v>og.png</x:v>
      </x:c>
      <x:c r="E52" s="32" t="str">
        <x:v>AI_Finance_Sec/public/og.png</x:v>
      </x:c>
      <x:c r="F52" s="32" t="str">
        <x:v>웹 정적 자산</x:v>
      </x:c>
      <x:c r="G52" s="32" t="str">
        <x:v>파비콘 또는 Open Graph 등 웹 표시용 정적 자산</x:v>
      </x:c>
      <x:c r="H52" s="32" t="str">
        <x:v>브라우저</x:v>
      </x:c>
      <x:c r="I52" s="32" t="str">
        <x:v>지원 자산</x:v>
      </x:c>
      <x:c r="J52" s="32" t="str">
        <x:v>유지</x:v>
      </x:c>
      <x:c r="K52" s="32" t="str">
        <x:v>P2</x:v>
      </x:c>
      <x:c r="L52" s="32" t="str">
        <x:v>추적·변경없음</x:v>
      </x:c>
      <x:c r="M52" s="34" t="n">
        <x:v>46236.49367913194</x:v>
      </x:c>
      <x:c r="N52" s="36" t="n">
        <x:v>1315.87890625</x:v>
      </x:c>
      <x:c r="O52" s="32" t="str"/>
    </x:row>
    <x:row r="53" ht="42" customHeight="1">
      <x:c r="A53" s="32" t="n">
        <x:v>49</x:v>
      </x:c>
      <x:c r="B53" s="32" t="str">
        <x:v>정적 자산</x:v>
      </x:c>
      <x:c r="C53" s="32" t="str">
        <x:v>이미지</x:v>
      </x:c>
      <x:c r="D53" s="32" t="str">
        <x:v>window.svg</x:v>
      </x:c>
      <x:c r="E53" s="32" t="str">
        <x:v>AI_Finance_Sec/public/window.svg</x:v>
      </x:c>
      <x:c r="F53" s="32" t="str">
        <x:v>스타터 이미지</x:v>
      </x:c>
      <x:c r="G53" s="32" t="str">
        <x:v>현재 UI에서 참조되지 않는 기본 스타터 SVG</x:v>
      </x:c>
      <x:c r="H53" s="32" t="str">
        <x:v>브라우저</x:v>
      </x:c>
      <x:c r="I53" s="32" t="str">
        <x:v>보관 후보</x:v>
      </x:c>
      <x:c r="J53" s="32" t="str">
        <x:v>보관 검토</x:v>
      </x:c>
      <x:c r="K53" s="32" t="str">
        <x:v>P2</x:v>
      </x:c>
      <x:c r="L53" s="32" t="str">
        <x:v>추적·변경없음</x:v>
      </x:c>
      <x:c r="M53" s="34" t="n">
        <x:v>46236.47981386574</x:v>
      </x:c>
      <x:c r="N53" s="36" t="n">
        <x:v>0.3759765625</x:v>
      </x:c>
      <x:c r="O53" s="32" t="str">
        <x:v>삭제 전 참조·빌드 재검증</x:v>
      </x:c>
    </x:row>
    <x:row r="54" ht="42" customHeight="1">
      <x:c r="A54" s="32" t="n">
        <x:v>50</x:v>
      </x:c>
      <x:c r="B54" s="32" t="str">
        <x:v>문서·프로토타입</x:v>
      </x:c>
      <x:c r="C54" s="32" t="str">
        <x:v>실행 가이드</x:v>
      </x:c>
      <x:c r="D54" s="32" t="str">
        <x:v>AI_Finance_Sec_아키텍처_및_실행가이드_Notion.md</x:v>
      </x:c>
      <x:c r="E54" s="32" t="str">
        <x:v>AI_Finance_Sec_아키텍처_및_실행가이드_Notion.md</x:v>
      </x:c>
      <x:c r="F54" s="32" t="str">
        <x:v>Notion 복붙용 아키텍처 안내</x:v>
      </x:c>
      <x:c r="G54" s="32" t="str">
        <x:v>MVP 실행과 RAG·LLM·State·Graph 처리 흐름을 설명</x:v>
      </x:c>
      <x:c r="H54" s="32" t="str">
        <x:v>Notion·교육</x:v>
      </x:c>
      <x:c r="I54" s="32" t="str">
        <x:v>참조 문서</x:v>
      </x:c>
      <x:c r="J54" s="32" t="str">
        <x:v>동기화 필요</x:v>
      </x:c>
      <x:c r="K54" s="32" t="str">
        <x:v>P1</x:v>
      </x:c>
      <x:c r="L54" s="32" t="str">
        <x:v>비형상관리</x:v>
      </x:c>
      <x:c r="M54" s="34" t="n">
        <x:v>46237.28790712963</x:v>
      </x:c>
      <x:c r="N54" s="36" t="n">
        <x:v>17.83203125</x:v>
      </x:c>
      <x:c r="O54" s="32" t="str"/>
    </x:row>
    <x:row r="55" ht="42" customHeight="1">
      <x:c r="A55" s="32" t="n">
        <x:v>51</x:v>
      </x:c>
      <x:c r="B55" s="32" t="str">
        <x:v>문서·프로토타입</x:v>
      </x:c>
      <x:c r="C55" s="32" t="str">
        <x:v>Notebook</x:v>
      </x:c>
      <x:c r="D55" s="32" t="str">
        <x:v>AI_Finance_Sec_Chatbot_Orchestration.ipynb</x:v>
      </x:c>
      <x:c r="E55" s="32" t="str">
        <x:v>AI_Finance_Sec/AI_Finance_Sec_Chatbot_Orchestration.ipynb</x:v>
      </x:c>
      <x:c r="F55" s="32" t="str">
        <x:v>오케스트레이션 설명·실험</x:v>
      </x:c>
      <x:c r="G55" s="32" t="str">
        <x:v>독립 프로토타입으로 최신 backend/app/graph.py를 import하지 않아 현재 구현과 차이가 있음</x:v>
      </x:c>
      <x:c r="H55" s="32" t="str">
        <x:v>Colab/Jupyter</x:v>
      </x:c>
      <x:c r="I55" s="32" t="str">
        <x:v>설명용 비기준</x:v>
      </x:c>
      <x:c r="J55" s="32" t="str">
        <x:v>동기화 필요</x:v>
      </x:c>
      <x:c r="K55" s="32" t="str">
        <x:v>P1</x:v>
      </x:c>
      <x:c r="L55" s="32" t="str">
        <x:v>추적·변경없음</x:v>
      </x:c>
      <x:c r="M55" s="34" t="n">
        <x:v>46246.05365349537</x:v>
      </x:c>
      <x:c r="N55" s="36" t="n">
        <x:v>26.6015625</x:v>
      </x:c>
      <x:c r="O55" s="32" t="str"/>
    </x:row>
    <x:row r="56" ht="42" customHeight="1">
      <x:c r="A56" s="32" t="n">
        <x:v>52</x:v>
      </x:c>
      <x:c r="B56" s="32" t="str">
        <x:v>문서·프로토타입</x:v>
      </x:c>
      <x:c r="C56" s="32" t="str">
        <x:v>개발 문서</x:v>
      </x:c>
      <x:c r="D56" s="32" t="str">
        <x:v>README.md</x:v>
      </x:c>
      <x:c r="E56" s="32" t="str">
        <x:v>AI_Finance_Sec/README.md</x:v>
      </x:c>
      <x:c r="F56" s="32" t="str">
        <x:v>프로젝트 실행 안내</x:v>
      </x:c>
      <x:c r="G56" s="32" t="str">
        <x:v>설치·실행·아키텍처 개요. 최신 Qwen 2회 호출과 구조화 판정 기준으로 후속 동기화 필요</x:v>
      </x:c>
      <x:c r="H56" s="32" t="str">
        <x:v>개발자</x:v>
      </x:c>
      <x:c r="I56" s="32" t="str">
        <x:v>안내 문서</x:v>
      </x:c>
      <x:c r="J56" s="32" t="str">
        <x:v>동기화 필요</x:v>
      </x:c>
      <x:c r="K56" s="32" t="str">
        <x:v>P1</x:v>
      </x:c>
      <x:c r="L56" s="32" t="str">
        <x:v>추적·변경없음</x:v>
      </x:c>
      <x:c r="M56" s="34" t="n">
        <x:v>46239.16486798611</x:v>
      </x:c>
      <x:c r="N56" s="36" t="n">
        <x:v>5.9697265625</x:v>
      </x:c>
      <x:c r="O56" s="32" t="str"/>
    </x:row>
    <x:row r="57" ht="42" customHeight="1">
      <x:c r="A57" s="32" t="n">
        <x:v>53</x:v>
      </x:c>
      <x:c r="B57" s="32" t="str">
        <x:v>문서·프로토타입</x:v>
      </x:c>
      <x:c r="C57" s="32" t="str">
        <x:v>설계·조사 문서</x:v>
      </x:c>
      <x:c r="D57" s="32" t="str">
        <x:v>기획서_사업기획_레퍼런스_조사.md</x:v>
      </x:c>
      <x:c r="E57" s="32" t="str">
        <x:v>docs/기획서_사업기획_레퍼런스_조사.md</x:v>
      </x:c>
      <x:c r="F57" s="32" t="str">
        <x:v>기획서_사업기획_레퍼런스_조사</x:v>
      </x:c>
      <x:c r="G57" s="32" t="str">
        <x:v>데이터, 모델, RAG, 평가, 에이전트 또는 소스 관리에 대한 근거와 기준</x:v>
      </x:c>
      <x:c r="H57" s="32" t="str">
        <x:v>기획·개발</x:v>
      </x:c>
      <x:c r="I57" s="32" t="str">
        <x:v>참조 문서</x:v>
      </x:c>
      <x:c r="J57" s="32" t="str">
        <x:v>유지</x:v>
      </x:c>
      <x:c r="K57" s="32" t="str">
        <x:v>P1</x:v>
      </x:c>
      <x:c r="L57" s="32" t="str">
        <x:v>비형상관리</x:v>
      </x:c>
      <x:c r="M57" s="34" t="n">
        <x:v>46239.1571187963</x:v>
      </x:c>
      <x:c r="N57" s="36" t="n">
        <x:v>16.0087890625</x:v>
      </x:c>
      <x:c r="O57" s="32" t="str"/>
    </x:row>
    <x:row r="58" ht="42" customHeight="1">
      <x:c r="A58" s="32" t="n">
        <x:v>54</x:v>
      </x:c>
      <x:c r="B58" s="32" t="str">
        <x:v>문서·프로토타입</x:v>
      </x:c>
      <x:c r="C58" s="32" t="str">
        <x:v>설계·조사 문서</x:v>
      </x:c>
      <x:c r="D58" s="32" t="str">
        <x:v>데이터셋_조사_및_활용계획.md</x:v>
      </x:c>
      <x:c r="E58" s="32" t="str">
        <x:v>docs/데이터셋_조사_및_활용계획.md</x:v>
      </x:c>
      <x:c r="F58" s="32" t="str">
        <x:v>데이터셋_조사_및_활용계획</x:v>
      </x:c>
      <x:c r="G58" s="32" t="str">
        <x:v>데이터, 모델, RAG, 평가, 에이전트 또는 소스 관리에 대한 근거와 기준</x:v>
      </x:c>
      <x:c r="H58" s="32" t="str">
        <x:v>기획·개발</x:v>
      </x:c>
      <x:c r="I58" s="32" t="str">
        <x:v>참조 문서</x:v>
      </x:c>
      <x:c r="J58" s="32" t="str">
        <x:v>유지</x:v>
      </x:c>
      <x:c r="K58" s="32" t="str">
        <x:v>P1</x:v>
      </x:c>
      <x:c r="L58" s="32" t="str">
        <x:v>비형상관리</x:v>
      </x:c>
      <x:c r="M58" s="34" t="n">
        <x:v>46237.26579579861</x:v>
      </x:c>
      <x:c r="N58" s="36" t="n">
        <x:v>5.9248046875</x:v>
      </x:c>
      <x:c r="O58" s="32" t="str"/>
    </x:row>
    <x:row r="59" ht="42" customHeight="1">
      <x:c r="A59" s="32" t="n">
        <x:v>55</x:v>
      </x:c>
      <x:c r="B59" s="32" t="str">
        <x:v>문서·프로토타입</x:v>
      </x:c>
      <x:c r="C59" s="32" t="str">
        <x:v>설계·조사 문서</x:v>
      </x:c>
      <x:c r="D59" s="32" t="str">
        <x:v>모델_선정_근거.md</x:v>
      </x:c>
      <x:c r="E59" s="32" t="str">
        <x:v>docs/모델_선정_근거.md</x:v>
      </x:c>
      <x:c r="F59" s="32" t="str">
        <x:v>모델_선정_근거</x:v>
      </x:c>
      <x:c r="G59" s="32" t="str">
        <x:v>데이터, 모델, RAG, 평가, 에이전트 또는 소스 관리에 대한 근거와 기준</x:v>
      </x:c>
      <x:c r="H59" s="32" t="str">
        <x:v>기획·개발</x:v>
      </x:c>
      <x:c r="I59" s="32" t="str">
        <x:v>참조 문서</x:v>
      </x:c>
      <x:c r="J59" s="32" t="str">
        <x:v>유지</x:v>
      </x:c>
      <x:c r="K59" s="32" t="str">
        <x:v>P1</x:v>
      </x:c>
      <x:c r="L59" s="32" t="str">
        <x:v>비형상관리</x:v>
      </x:c>
      <x:c r="M59" s="34" t="n">
        <x:v>46237.265798726854</x:v>
      </x:c>
      <x:c r="N59" s="36" t="n">
        <x:v>4.3525390625</x:v>
      </x:c>
      <x:c r="O59" s="32" t="str"/>
    </x:row>
    <x:row r="60" ht="42" customHeight="1">
      <x:c r="A60" s="32" t="n">
        <x:v>56</x:v>
      </x:c>
      <x:c r="B60" s="32" t="str">
        <x:v>문서·프로토타입</x:v>
      </x:c>
      <x:c r="C60" s="32" t="str">
        <x:v>설계·조사 문서</x:v>
      </x:c>
      <x:c r="D60" s="32" t="str">
        <x:v>블라인드_40건_평가_방법과_지표_해설.md</x:v>
      </x:c>
      <x:c r="E60" s="32" t="str">
        <x:v>docs/블라인드_40건_평가_방법과_지표_해설.md</x:v>
      </x:c>
      <x:c r="F60" s="32" t="str">
        <x:v>블라인드_40건_평가_방법과_지표_해설</x:v>
      </x:c>
      <x:c r="G60" s="32" t="str">
        <x:v>데이터, 모델, RAG, 평가, 에이전트 또는 소스 관리에 대한 근거와 기준</x:v>
      </x:c>
      <x:c r="H60" s="32" t="str">
        <x:v>기획·개발</x:v>
      </x:c>
      <x:c r="I60" s="32" t="str">
        <x:v>참조 문서</x:v>
      </x:c>
      <x:c r="J60" s="32" t="str">
        <x:v>유지</x:v>
      </x:c>
      <x:c r="K60" s="32" t="str">
        <x:v>P1</x:v>
      </x:c>
      <x:c r="L60" s="32" t="str">
        <x:v>비형상관리</x:v>
      </x:c>
      <x:c r="M60" s="34" t="n">
        <x:v>46248.61552497685</x:v>
      </x:c>
      <x:c r="N60" s="36" t="n">
        <x:v>14.2900390625</x:v>
      </x:c>
      <x:c r="O60" s="32" t="str"/>
    </x:row>
    <x:row r="61" ht="42" customHeight="1">
      <x:c r="A61" s="32" t="n">
        <x:v>57</x:v>
      </x:c>
      <x:c r="B61" s="32" t="str">
        <x:v>문서·프로토타입</x:v>
      </x:c>
      <x:c r="C61" s="32" t="str">
        <x:v>설계·조사 문서</x:v>
      </x:c>
      <x:c r="D61" s="32" t="str">
        <x:v>소스코드_분류_및_관리기준.md</x:v>
      </x:c>
      <x:c r="E61" s="32" t="str">
        <x:v>docs/소스코드_분류_및_관리기준.md</x:v>
      </x:c>
      <x:c r="F61" s="32" t="str">
        <x:v>소스코드_분류_및_관리기준</x:v>
      </x:c>
      <x:c r="G61" s="32" t="str">
        <x:v>데이터, 모델, RAG, 평가, 에이전트 또는 소스 관리에 대한 근거와 기준</x:v>
      </x:c>
      <x:c r="H61" s="32" t="str">
        <x:v>기획·개발</x:v>
      </x:c>
      <x:c r="I61" s="32" t="str">
        <x:v>참조 문서</x:v>
      </x:c>
      <x:c r="J61" s="32" t="str">
        <x:v>유지</x:v>
      </x:c>
      <x:c r="K61" s="32" t="str">
        <x:v>P1</x:v>
      </x:c>
      <x:c r="L61" s="32" t="str">
        <x:v>비형상관리</x:v>
      </x:c>
      <x:c r="M61" s="34" t="n">
        <x:v>46250.37128537037</x:v>
      </x:c>
      <x:c r="N61" s="36" t="n">
        <x:v>5.01953125</x:v>
      </x:c>
      <x:c r="O61" s="32" t="str"/>
    </x:row>
    <x:row r="62" ht="42" customHeight="1">
      <x:c r="A62" s="32" t="n">
        <x:v>58</x:v>
      </x:c>
      <x:c r="B62" s="32" t="str">
        <x:v>문서·프로토타입</x:v>
      </x:c>
      <x:c r="C62" s="32" t="str">
        <x:v>설계·조사 문서</x:v>
      </x:c>
      <x:c r="D62" s="32" t="str">
        <x:v>에이전트_운영구성.md</x:v>
      </x:c>
      <x:c r="E62" s="32" t="str">
        <x:v>docs/에이전트_운영구성.md</x:v>
      </x:c>
      <x:c r="F62" s="32" t="str">
        <x:v>에이전트_운영구성</x:v>
      </x:c>
      <x:c r="G62" s="32" t="str">
        <x:v>데이터, 모델, RAG, 평가, 에이전트 또는 소스 관리에 대한 근거와 기준</x:v>
      </x:c>
      <x:c r="H62" s="32" t="str">
        <x:v>기획·개발</x:v>
      </x:c>
      <x:c r="I62" s="32" t="str">
        <x:v>참조 문서</x:v>
      </x:c>
      <x:c r="J62" s="32" t="str">
        <x:v>유지</x:v>
      </x:c>
      <x:c r="K62" s="32" t="str">
        <x:v>P1</x:v>
      </x:c>
      <x:c r="L62" s="32" t="str">
        <x:v>비형상관리</x:v>
      </x:c>
      <x:c r="M62" s="34" t="n">
        <x:v>46238.43368650463</x:v>
      </x:c>
      <x:c r="N62" s="36" t="n">
        <x:v>1.8076171875</x:v>
      </x:c>
      <x:c r="O62" s="32" t="str"/>
    </x:row>
    <x:row r="63" ht="42" customHeight="1">
      <x:c r="A63" s="32" t="n">
        <x:v>59</x:v>
      </x:c>
      <x:c r="B63" s="32" t="str">
        <x:v>문서·프로토타입</x:v>
      </x:c>
      <x:c r="C63" s="32" t="str">
        <x:v>설계·조사 문서</x:v>
      </x:c>
      <x:c r="D63" s="32" t="str">
        <x:v>RAG_평가_및_분석에이전트_설계.md</x:v>
      </x:c>
      <x:c r="E63" s="32" t="str">
        <x:v>docs/RAG_평가_및_분석에이전트_설계.md</x:v>
      </x:c>
      <x:c r="F63" s="32" t="str">
        <x:v>RAG_평가_및_분석에이전트_설계</x:v>
      </x:c>
      <x:c r="G63" s="32" t="str">
        <x:v>데이터, 모델, RAG, 평가, 에이전트 또는 소스 관리에 대한 근거와 기준</x:v>
      </x:c>
      <x:c r="H63" s="32" t="str">
        <x:v>기획·개발</x:v>
      </x:c>
      <x:c r="I63" s="32" t="str">
        <x:v>참조 문서</x:v>
      </x:c>
      <x:c r="J63" s="32" t="str">
        <x:v>유지</x:v>
      </x:c>
      <x:c r="K63" s="32" t="str">
        <x:v>P1</x:v>
      </x:c>
      <x:c r="L63" s="32" t="str">
        <x:v>비형상관리</x:v>
      </x:c>
      <x:c r="M63" s="34" t="n">
        <x:v>46237.26580237268</x:v>
      </x:c>
      <x:c r="N63" s="36" t="n">
        <x:v>5.58984375</x:v>
      </x:c>
      <x:c r="O63" s="32" t="str"/>
    </x:row>
    <x:row r="64" ht="42" customHeight="1">
      <x:c r="A64" s="32" t="n">
        <x:v>60</x:v>
      </x:c>
      <x:c r="B64" s="32" t="str">
        <x:v>프로젝트 관리</x:v>
      </x:c>
      <x:c r="C64" s="32" t="str">
        <x:v>대화 기록</x:v>
      </x:c>
      <x:c r="D64" s="32" t="str">
        <x:v>Edit.md</x:v>
      </x:c>
      <x:c r="E64" s="32" t="str">
        <x:v>Edit.md</x:v>
      </x:c>
      <x:c r="F64" s="32" t="str">
        <x:v>요구사항·의사결정 대장</x:v>
      </x:c>
      <x:c r="G64" s="32" t="str">
        <x:v>사용자 질문, 답변, 우선순위와 산출물 변경 내용을 누적 기록</x:v>
      </x:c>
      <x:c r="H64" s="32" t="str">
        <x:v>프로젝트 전체</x:v>
      </x:c>
      <x:c r="I64" s="32" t="str">
        <x:v>관리 원본</x:v>
      </x:c>
      <x:c r="J64" s="32" t="str">
        <x:v>유지</x:v>
      </x:c>
      <x:c r="K64" s="32" t="str">
        <x:v>P0</x:v>
      </x:c>
      <x:c r="L64" s="32" t="str">
        <x:v>비형상관리</x:v>
      </x:c>
      <x:c r="M64" s="34" t="n">
        <x:v>46250.36267028935</x:v>
      </x:c>
      <x:c r="N64" s="36" t="n">
        <x:v>98.53515625</x:v>
      </x:c>
      <x:c r="O64" s="32" t="str"/>
    </x:row>
    <x:row r="65" ht="42" customHeight="1">
      <x:c r="A65" s="32" t="n">
        <x:v>61</x:v>
      </x:c>
      <x:c r="B65" s="32" t="str">
        <x:v>프로젝트 관리</x:v>
      </x:c>
      <x:c r="C65" s="32" t="str">
        <x:v>형상관리 대장</x:v>
      </x:c>
      <x:c r="D65" s="32" t="str">
        <x:v>AI_Finance_Sec_파일관리목록대장.xlsx</x:v>
      </x:c>
      <x:c r="E65" s="32" t="str">
        <x:v>outputs/019fc231-dd29-7ff2-bf0b-a2db2c8209ee/AI_Finance_Sec_파일관리목록대장.xlsx</x:v>
      </x:c>
      <x:c r="F65" s="32" t="str">
        <x:v>소스·문서·산출물 관리 대장</x:v>
      </x:c>
      <x:c r="G65" s="32" t="str">
        <x:v>전체 파일의 목적, 권위, 상태, 우선순위, 변경 여부를 추적</x:v>
      </x:c>
      <x:c r="H65" s="32" t="str">
        <x:v>프로젝트 전체</x:v>
      </x:c>
      <x:c r="I65" s="32" t="str">
        <x:v>관리 원본</x:v>
      </x:c>
      <x:c r="J65" s="32" t="str">
        <x:v>유지</x:v>
      </x:c>
      <x:c r="K65" s="32" t="str">
        <x:v>P0</x:v>
      </x:c>
      <x:c r="L65" s="32" t="str">
        <x:v>비형상관리</x:v>
      </x:c>
      <x:c r="M65" s="34" t="n">
        <x:v>46250.37384817129</x:v>
      </x:c>
      <x:c r="N65" s="36" t="n">
        <x:v>0</x:v>
      </x:c>
      <x:c r="O65" s="32" t="str">
        <x:v>본 파일</x:v>
      </x:c>
    </x:row>
    <x:row r="66" ht="42" customHeight="1">
      <x:c r="A66" s="32" t="n">
        <x:v>62</x:v>
      </x:c>
      <x:c r="B66" s="32" t="str">
        <x:v>원본 양식</x:v>
      </x:c>
      <x:c r="C66" s="32" t="str">
        <x:v>주최측 원본</x:v>
      </x:c>
      <x:c r="D66" s="32" t="str">
        <x:v>(첨부1) 2026 금융 AI Challenge 공모전 기획서.hwpx</x:v>
      </x:c>
      <x:c r="E66" s="32" t="str">
        <x:v>(첨부1) 2026 금융 AI Challenge 공모전 기획서.hwpx</x:v>
      </x:c>
      <x:c r="F66" s="32" t="str">
        <x:v>공모전 원본 양식</x:v>
      </x:c>
      <x:c r="G66" s="32" t="str">
        <x:v>사용자가 제공한 기획서 또는 기능명세서 원본 HWPX</x:v>
      </x:c>
      <x:c r="H66" s="32" t="str">
        <x:v>제출문서 작성</x:v>
      </x:c>
      <x:c r="I66" s="32" t="str">
        <x:v>보존 원본</x:v>
      </x:c>
      <x:c r="J66" s="32" t="str">
        <x:v>보관</x:v>
      </x:c>
      <x:c r="K66" s="32" t="str">
        <x:v>P0</x:v>
      </x:c>
      <x:c r="L66" s="32" t="str">
        <x:v>비형상관리</x:v>
      </x:c>
      <x:c r="M66" s="34" t="n">
        <x:v>46237.25666258102</x:v>
      </x:c>
      <x:c r="N66" s="36" t="n">
        <x:v>46.26171875</x:v>
      </x:c>
      <x:c r="O66" s="32" t="str"/>
    </x:row>
    <x:row r="67" ht="42" customHeight="1">
      <x:c r="A67" s="32" t="n">
        <x:v>63</x:v>
      </x:c>
      <x:c r="B67" s="32" t="str">
        <x:v>원본 양식</x:v>
      </x:c>
      <x:c r="C67" s="32" t="str">
        <x:v>주최측 원본</x:v>
      </x:c>
      <x:c r="D67" s="32" t="str">
        <x:v>(첨부2) 2026 금융 AI Challenge 기능명세서.hwpx</x:v>
      </x:c>
      <x:c r="E67" s="32" t="str">
        <x:v>(첨부2) 2026 금융 AI Challenge 기능명세서.hwpx</x:v>
      </x:c>
      <x:c r="F67" s="32" t="str">
        <x:v>공모전 원본 양식</x:v>
      </x:c>
      <x:c r="G67" s="32" t="str">
        <x:v>사용자가 제공한 기획서 또는 기능명세서 원본 HWPX</x:v>
      </x:c>
      <x:c r="H67" s="32" t="str">
        <x:v>제출문서 작성</x:v>
      </x:c>
      <x:c r="I67" s="32" t="str">
        <x:v>보존 원본</x:v>
      </x:c>
      <x:c r="J67" s="32" t="str">
        <x:v>보관</x:v>
      </x:c>
      <x:c r="K67" s="32" t="str">
        <x:v>P0</x:v>
      </x:c>
      <x:c r="L67" s="32" t="str">
        <x:v>비형상관리</x:v>
      </x:c>
      <x:c r="M67" s="34" t="n">
        <x:v>46237.25671083333</x:v>
      </x:c>
      <x:c r="N67" s="36" t="n">
        <x:v>44.390625</x:v>
      </x:c>
      <x:c r="O67" s="32" t="str"/>
    </x:row>
    <x:row r="68" ht="42" customHeight="1">
      <x:c r="A68" s="32" t="n">
        <x:v>64</x:v>
      </x:c>
      <x:c r="B68" s="32" t="str">
        <x:v>제출 산출물</x:v>
      </x:c>
      <x:c r="C68" s="32" t="str">
        <x:v>HWPX 제출문서</x:v>
      </x:c>
      <x:c r="D68" s="32" t="str">
        <x:v>(제출본) 2026 금융 AI Challenge 기능명세서_AI_Finance_Sec.hwpx</x:v>
      </x:c>
      <x:c r="E68" s="32" t="str">
        <x:v>submission/(제출본) 2026 금융 AI Challenge 기능명세서_AI_Finance_Sec.hwpx</x:v>
      </x:c>
      <x:c r="F68" s="32" t="str">
        <x:v>MVP 기술·기능명세서</x:v>
      </x:c>
      <x:c r="G68" s="32" t="str">
        <x:v>2026-08-03 제출본으로 통합수정본보다 이전 버전</x:v>
      </x:c>
      <x:c r="H68" s="32" t="str">
        <x:v>심사 제출</x:v>
      </x:c>
      <x:c r="I68" s="32" t="str">
        <x:v>이전 제출본</x:v>
      </x:c>
      <x:c r="J68" s="32" t="str">
        <x:v>보관</x:v>
      </x:c>
      <x:c r="K68" s="32" t="str">
        <x:v>P1</x:v>
      </x:c>
      <x:c r="L68" s="32" t="str">
        <x:v>비형상관리</x:v>
      </x:c>
      <x:c r="M68" s="34" t="n">
        <x:v>46237.28432315972</x:v>
      </x:c>
      <x:c r="N68" s="36" t="n">
        <x:v>43.228515625</x:v>
      </x:c>
      <x:c r="O68" s="32" t="str"/>
    </x:row>
    <x:row r="69" ht="42" customHeight="1">
      <x:c r="A69" s="32" t="n">
        <x:v>65</x:v>
      </x:c>
      <x:c r="B69" s="32" t="str">
        <x:v>제출 산출물</x:v>
      </x:c>
      <x:c r="C69" s="32" t="str">
        <x:v>HWPX 제출문서</x:v>
      </x:c>
      <x:c r="D69" s="32" t="str">
        <x:v>(제출본) 2026 금융 AI Challenge 기획서_AI_Finance_Sec.hwpx</x:v>
      </x:c>
      <x:c r="E69" s="32" t="str">
        <x:v>submission/(제출본) 2026 금융 AI Challenge 기획서_AI_Finance_Sec.hwpx</x:v>
      </x:c>
      <x:c r="F69" s="32" t="str">
        <x:v>공모전 기획서</x:v>
      </x:c>
      <x:c r="G69" s="32" t="str">
        <x:v>2026-08-03 제출본으로 통합수정본보다 이전 버전</x:v>
      </x:c>
      <x:c r="H69" s="32" t="str">
        <x:v>심사 제출</x:v>
      </x:c>
      <x:c r="I69" s="32" t="str">
        <x:v>이전 제출본</x:v>
      </x:c>
      <x:c r="J69" s="32" t="str">
        <x:v>보관</x:v>
      </x:c>
      <x:c r="K69" s="32" t="str">
        <x:v>P1</x:v>
      </x:c>
      <x:c r="L69" s="32" t="str">
        <x:v>비형상관리</x:v>
      </x:c>
      <x:c r="M69" s="34" t="n">
        <x:v>46237.284323113425</x:v>
      </x:c>
      <x:c r="N69" s="36" t="n">
        <x:v>44.5234375</x:v>
      </x:c>
      <x:c r="O69" s="32" t="str"/>
    </x:row>
    <x:row r="70" ht="42" customHeight="1">
      <x:c r="A70" s="32" t="n">
        <x:v>66</x:v>
      </x:c>
      <x:c r="B70" s="32" t="str">
        <x:v>제출 산출물</x:v>
      </x:c>
      <x:c r="C70" s="32" t="str">
        <x:v>HWPX 제출문서</x:v>
      </x:c>
      <x:c r="D70" s="32" t="str">
        <x:v>(통합수정본) 2026 금융 AI Challenge 기능명세서_AI_Finance_Sec.hwpx</x:v>
      </x:c>
      <x:c r="E70" s="32" t="str">
        <x:v>submission/(통합수정본) 2026 금융 AI Challenge 기능명세서_AI_Finance_Sec.hwpx</x:v>
      </x:c>
      <x:c r="F70" s="32" t="str">
        <x:v>MVP 기술·기능명세서</x:v>
      </x:c>
      <x:c r="G70" s="32" t="str">
        <x:v>2026-08-05 기준 최신 통합수정본</x:v>
      </x:c>
      <x:c r="H70" s="32" t="str">
        <x:v>심사 제출</x:v>
      </x:c>
      <x:c r="I70" s="32" t="str">
        <x:v>최신 편집본</x:v>
      </x:c>
      <x:c r="J70" s="32" t="str">
        <x:v>제출 후보</x:v>
      </x:c>
      <x:c r="K70" s="32" t="str">
        <x:v>P0</x:v>
      </x:c>
      <x:c r="L70" s="32" t="str">
        <x:v>비형상관리</x:v>
      </x:c>
      <x:c r="M70" s="34" t="n">
        <x:v>46239.170236875</x:v>
      </x:c>
      <x:c r="N70" s="36" t="n">
        <x:v>43.630859375</x:v>
      </x:c>
      <x:c r="O70" s="32" t="str"/>
    </x:row>
    <x:row r="71" ht="42" customHeight="1">
      <x:c r="A71" s="32" t="n">
        <x:v>67</x:v>
      </x:c>
      <x:c r="B71" s="32" t="str">
        <x:v>제출 산출물</x:v>
      </x:c>
      <x:c r="C71" s="32" t="str">
        <x:v>HWPX 제출문서</x:v>
      </x:c>
      <x:c r="D71" s="32" t="str">
        <x:v>(통합수정본) 2026 금융 AI Challenge 기획서_AI_Finance_Sec.hwpx</x:v>
      </x:c>
      <x:c r="E71" s="32" t="str">
        <x:v>submission/(통합수정본) 2026 금융 AI Challenge 기획서_AI_Finance_Sec.hwpx</x:v>
      </x:c>
      <x:c r="F71" s="32" t="str">
        <x:v>공모전 기획서</x:v>
      </x:c>
      <x:c r="G71" s="32" t="str">
        <x:v>2026-08-05 기준 최신 통합수정본</x:v>
      </x:c>
      <x:c r="H71" s="32" t="str">
        <x:v>심사 제출</x:v>
      </x:c>
      <x:c r="I71" s="32" t="str">
        <x:v>최신 편집본</x:v>
      </x:c>
      <x:c r="J71" s="32" t="str">
        <x:v>제출 후보</x:v>
      </x:c>
      <x:c r="K71" s="32" t="str">
        <x:v>P0</x:v>
      </x:c>
      <x:c r="L71" s="32" t="str">
        <x:v>비형상관리</x:v>
      </x:c>
      <x:c r="M71" s="34" t="n">
        <x:v>46239.17023685185</x:v>
      </x:c>
      <x:c r="N71" s="36" t="n">
        <x:v>45.712890625</x:v>
      </x:c>
      <x:c r="O71" s="32" t="str"/>
    </x:row>
    <x:row r="72" ht="42" customHeight="1">
      <x:c r="A72" s="32" t="n">
        <x:v>68</x:v>
      </x:c>
      <x:c r="B72" s="32" t="str">
        <x:v>제출 산출물</x:v>
      </x:c>
      <x:c r="C72" s="32" t="str">
        <x:v>제출 원고</x:v>
      </x:c>
      <x:c r="D72" s="32" t="str">
        <x:v>2026_금융_AI_Challenge_기획서_완성본.md</x:v>
      </x:c>
      <x:c r="E72" s="32" t="str">
        <x:v>submission/2026_금융_AI_Challenge_기획서_완성본.md</x:v>
      </x:c>
      <x:c r="F72" s="32" t="str">
        <x:v>공모전 기획서</x:v>
      </x:c>
      <x:c r="G72" s="32" t="str">
        <x:v>제출용 Markdown 기준 원고</x:v>
      </x:c>
      <x:c r="H72" s="32" t="str">
        <x:v>심사 제출</x:v>
      </x:c>
      <x:c r="I72" s="32" t="str">
        <x:v>원본 문서</x:v>
      </x:c>
      <x:c r="J72" s="32" t="str">
        <x:v>유지</x:v>
      </x:c>
      <x:c r="K72" s="32" t="str">
        <x:v>P1</x:v>
      </x:c>
      <x:c r="L72" s="32" t="str">
        <x:v>비형상관리</x:v>
      </x:c>
      <x:c r="M72" s="34" t="n">
        <x:v>46239.16853898148</x:v>
      </x:c>
      <x:c r="N72" s="36" t="n">
        <x:v>25.61328125</x:v>
      </x:c>
      <x:c r="O72" s="32" t="str"/>
    </x:row>
    <x:row r="73" ht="42" customHeight="1">
      <x:c r="A73" s="32" t="n">
        <x:v>69</x:v>
      </x:c>
      <x:c r="B73" s="32" t="str">
        <x:v>제출 산출물</x:v>
      </x:c>
      <x:c r="C73" s="32" t="str">
        <x:v>제출 원고</x:v>
      </x:c>
      <x:c r="D73" s="32" t="str">
        <x:v>2026_금융_AI_Challenge_MVP_기술명세서_완성본.md</x:v>
      </x:c>
      <x:c r="E73" s="32" t="str">
        <x:v>submission/2026_금융_AI_Challenge_MVP_기술명세서_완성본.md</x:v>
      </x:c>
      <x:c r="F73" s="32" t="str">
        <x:v>MVP 기술·기능명세서</x:v>
      </x:c>
      <x:c r="G73" s="32" t="str">
        <x:v>제출용 Markdown 기준 원고</x:v>
      </x:c>
      <x:c r="H73" s="32" t="str">
        <x:v>심사 제출</x:v>
      </x:c>
      <x:c r="I73" s="32" t="str">
        <x:v>원본 문서</x:v>
      </x:c>
      <x:c r="J73" s="32" t="str">
        <x:v>유지</x:v>
      </x:c>
      <x:c r="K73" s="32" t="str">
        <x:v>P1</x:v>
      </x:c>
      <x:c r="L73" s="32" t="str">
        <x:v>비형상관리</x:v>
      </x:c>
      <x:c r="M73" s="34" t="n">
        <x:v>46239.1716325</x:v>
      </x:c>
      <x:c r="N73" s="36" t="n">
        <x:v>11.021484375</x:v>
      </x:c>
      <x:c r="O73" s="32" t="str"/>
    </x:row>
    <x:row r="74" ht="42" customHeight="1">
      <x:c r="A74" s="32" t="n">
        <x:v>70</x:v>
      </x:c>
      <x:c r="B74" s="32" t="str">
        <x:v>제출 산출물</x:v>
      </x:c>
      <x:c r="C74" s="32" t="str">
        <x:v>제출 원고</x:v>
      </x:c>
      <x:c r="D74" s="32" t="str">
        <x:v>AI_Finance_Sec_데모_운영가이드.md</x:v>
      </x:c>
      <x:c r="E74" s="32" t="str">
        <x:v>submission/AI_Finance_Sec_데모_운영가이드.md</x:v>
      </x:c>
      <x:c r="F74" s="32" t="str">
        <x:v>데모 운영가이드</x:v>
      </x:c>
      <x:c r="G74" s="32" t="str">
        <x:v>제출용 Markdown 기준 원고</x:v>
      </x:c>
      <x:c r="H74" s="32" t="str">
        <x:v>심사 제출</x:v>
      </x:c>
      <x:c r="I74" s="32" t="str">
        <x:v>원본 문서</x:v>
      </x:c>
      <x:c r="J74" s="32" t="str">
        <x:v>유지</x:v>
      </x:c>
      <x:c r="K74" s="32" t="str">
        <x:v>P1</x:v>
      </x:c>
      <x:c r="L74" s="32" t="str">
        <x:v>비형상관리</x:v>
      </x:c>
      <x:c r="M74" s="34" t="n">
        <x:v>46237.28422998843</x:v>
      </x:c>
      <x:c r="N74" s="36" t="n">
        <x:v>2.4814453125</x:v>
      </x:c>
      <x:c r="O74" s="32" t="str"/>
    </x:row>
    <x:row r="75" ht="42" customHeight="1">
      <x:c r="A75" s="32" t="n">
        <x:v>71</x:v>
      </x:c>
      <x:c r="B75" s="32" t="str">
        <x:v>발표 산출물</x:v>
      </x:c>
      <x:c r="C75" s="32" t="str">
        <x:v>PDF</x:v>
      </x:c>
      <x:c r="D75" s="32" t="str">
        <x:v>AI_Finance_Sec_전체프로세스_플로우차트.pdf</x:v>
      </x:c>
      <x:c r="E75" s="32" t="str">
        <x:v>output/pdf/AI_Finance_Sec_전체프로세스_플로우차트.pdf</x:v>
      </x:c>
      <x:c r="F75" s="32" t="str">
        <x:v>전체 프로세스 플로우차트</x:v>
      </x:c>
      <x:c r="G75" s="32" t="str">
        <x:v>프론트 챗봇과 백그라운드 시스템 흐름을 가로형으로 도식화</x:v>
      </x:c>
      <x:c r="H75" s="32" t="str">
        <x:v>발표·설명</x:v>
      </x:c>
      <x:c r="I75" s="32" t="str">
        <x:v>최종 산출물</x:v>
      </x:c>
      <x:c r="J75" s="32" t="str">
        <x:v>유지</x:v>
      </x:c>
      <x:c r="K75" s="32" t="str">
        <x:v>P1</x:v>
      </x:c>
      <x:c r="L75" s="32" t="str">
        <x:v>비형상관리</x:v>
      </x:c>
      <x:c r="M75" s="34" t="n">
        <x:v>46237.22820662037</x:v>
      </x:c>
      <x:c r="N75" s="36" t="n">
        <x:v>98.6982421875</x:v>
      </x:c>
      <x:c r="O75" s="32" t="str"/>
    </x:row>
    <x:row r="76" ht="42" customHeight="1">
      <x:c r="A76" s="33" t="n">
        <x:v>72</x:v>
      </x:c>
      <x:c r="B76" s="33" t="str">
        <x:v>발표 산출물</x:v>
      </x:c>
      <x:c r="C76" s="33" t="str">
        <x:v>PPTX</x:v>
      </x:c>
      <x:c r="D76" s="33" t="str">
        <x:v>AI_Finance_Sec_문제정의_시스템설계_컨설팅장표.pptx</x:v>
      </x:c>
      <x:c r="E76" s="33" t="str">
        <x:v>presentation/AI_Finance_Sec_문제정의_시스템설계_컨설팅장표.pptx</x:v>
      </x:c>
      <x:c r="F76" s="33" t="str">
        <x:v>컨설팅 발표 장표</x:v>
      </x:c>
      <x:c r="G76" s="33" t="str">
        <x:v>문제정의와 시스템 설계 도식 중심 발표자료</x:v>
      </x:c>
      <x:c r="H76" s="33" t="str">
        <x:v>발표·심사</x:v>
      </x:c>
      <x:c r="I76" s="33" t="str">
        <x:v>최종 산출물</x:v>
      </x:c>
      <x:c r="J76" s="33" t="str">
        <x:v>유지</x:v>
      </x:c>
      <x:c r="K76" s="33" t="str">
        <x:v>P1</x:v>
      </x:c>
      <x:c r="L76" s="33" t="str">
        <x:v>비형상관리</x:v>
      </x:c>
      <x:c r="M76" s="35" t="n">
        <x:v>46250.06051377315</x:v>
      </x:c>
      <x:c r="N76" s="37" t="n">
        <x:v>59.4970703125</x:v>
      </x:c>
      <x:c r="O76" s="33" t="str"/>
    </x:row>
  </x:sheetData>
  <x:mergeCells>
    <x:mergeCell ref="A1:O1"/>
    <x:mergeCell ref="A2:O2"/>
  </x:mergeCells>
  <x:conditionalFormatting sqref="A5:O76">
    <x:cfRule type="expression" dxfId="0" priority="1">
      <x:formula>MOD($A5,2)=0</x:formula>
    </x:cfRule>
  </x:conditionalFormatting>
  <x:conditionalFormatting sqref="J5:J76">
    <x:cfRule type="expression" dxfId="1" priority="2">
      <x:formula>OR($J5="동기화 필요",$J5="정리 검토",$J5="보관 검토")</x:formula>
    </x:cfRule>
  </x:conditionalFormatting>
  <x:conditionalFormatting sqref="K5:K76">
    <x:cfRule type="expression" dxfId="2" priority="3">
      <x:formula>$K5="P0"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07b5ea9c224f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6" hidden="0" customWidth="1"/>
    <x:col min="4" max="4" width="48" hidden="0" customWidth="1"/>
  </x:cols>
  <x:sheetData>
    <x:row r="1" ht="32" customHeight="1">
      <x:c r="A1" s="27" t="str">
        <x:v>소스 분류·형상관리 기준</x:v>
      </x:c>
      <x:c r="B1" s="27"/>
      <x:c r="C1" s="27"/>
      <x:c r="D1" s="27"/>
    </x:row>
    <x:row r="3">
      <x:c r="A3" s="9" t="str">
        <x:v>구분</x:v>
      </x:c>
      <x:c r="B3" s="9" t="str">
        <x:v>값</x:v>
      </x:c>
      <x:c r="C3" s="9" t="str">
        <x:v>의미</x:v>
      </x:c>
      <x:c r="D3" s="9" t="str">
        <x:v>관리 행동</x:v>
      </x:c>
    </x:row>
    <x:row r="4" ht="38" customHeight="1">
      <x:c r="A4" s="42" t="str">
        <x:v>권위</x:v>
      </x:c>
      <x:c r="B4" s="42" t="str">
        <x:v>단일 기준 소스</x:v>
      </x:c>
      <x:c r="C4" s="42" t="str">
        <x:v>서비스 동작을 최종 결정하는 구현</x:v>
      </x:c>
      <x:c r="D4" s="42" t="str">
        <x:v>변경 시 테스트·문서 동기화</x:v>
      </x:c>
    </x:row>
    <x:row r="5" ht="38" customHeight="1">
      <x:c r="A5" s="42" t="str">
        <x:v>권위</x:v>
      </x:c>
      <x:c r="B5" s="42" t="str">
        <x:v>병행 기준 소스</x:v>
      </x:c>
      <x:c r="C5" s="42" t="str">
        <x:v>Mock 등 별도 실행 경로의 기준 구현</x:v>
      </x:c>
      <x:c r="D5" s="42" t="str">
        <x:v>Python 코어와 parity 검증</x:v>
      </x:c>
    </x:row>
    <x:row r="6" ht="38" customHeight="1">
      <x:c r="A6" s="42" t="str">
        <x:v>권위</x:v>
      </x:c>
      <x:c r="B6" s="42" t="str">
        <x:v>설명용 비기준</x:v>
      </x:c>
      <x:c r="C6" s="42" t="str">
        <x:v>Notebook·가이드 등 설명/실험 산출물</x:v>
      </x:c>
      <x:c r="D6" s="42" t="str">
        <x:v>배포 기준으로 인용 금지</x:v>
      </x:c>
    </x:row>
    <x:row r="7" ht="38" customHeight="1">
      <x:c r="A7" s="42" t="str">
        <x:v>상태</x:v>
      </x:c>
      <x:c r="B7" s="42" t="str">
        <x:v>동기화 필요</x:v>
      </x:c>
      <x:c r="C7" s="42" t="str">
        <x:v>현재 코드보다 설명 또는 구조가 오래됨</x:v>
      </x:c>
      <x:c r="D7" s="42" t="str">
        <x:v>P1에서 기준 소스에 맞춰 갱신</x:v>
      </x:c>
    </x:row>
    <x:row r="8" ht="38" customHeight="1">
      <x:c r="A8" s="42" t="str">
        <x:v>상태</x:v>
      </x:c>
      <x:c r="B8" s="42" t="str">
        <x:v>보관 검토</x:v>
      </x:c>
      <x:c r="C8" s="42" t="str">
        <x:v>직접 참조가 없거나 스캐폴드 성격</x:v>
      </x:c>
      <x:c r="D8" s="42" t="str">
        <x:v>삭제 전 참조·빌드·테스트 확인</x:v>
      </x:c>
    </x:row>
    <x:row r="9" ht="38" customHeight="1">
      <x:c r="A9" s="42" t="str">
        <x:v>상태</x:v>
      </x:c>
      <x:c r="B9" s="42" t="str">
        <x:v>정리 검토</x:v>
      </x:c>
      <x:c r="C9" s="42" t="str">
        <x:v>중복 또는 생성 중간물</x:v>
      </x:c>
      <x:c r="D9" s="42" t="str">
        <x:v>기준 확정 후 별도 정리 커밋</x:v>
      </x:c>
    </x:row>
    <x:row r="10" ht="38" customHeight="1">
      <x:c r="A10" s="42" t="str">
        <x:v>우선순위</x:v>
      </x:c>
      <x:c r="B10" s="42" t="str">
        <x:v>P0</x:v>
      </x:c>
      <x:c r="C10" s="42" t="str">
        <x:v>데모·제출·핵심 실행에 필수</x:v>
      </x:c>
      <x:c r="D10" s="42" t="str">
        <x:v>항상 테스트 및 형상관리</x:v>
      </x:c>
    </x:row>
    <x:row r="11" ht="38" customHeight="1">
      <x:c r="A11" s="42" t="str">
        <x:v>우선순위</x:v>
      </x:c>
      <x:c r="B11" s="42" t="str">
        <x:v>P1</x:v>
      </x:c>
      <x:c r="C11" s="42" t="str">
        <x:v>운영·설명·검증 품질에 중요</x:v>
      </x:c>
      <x:c r="D11" s="42" t="str">
        <x:v>MVP 안정화 전 처리</x:v>
      </x:c>
    </x:row>
    <x:row r="12" ht="38" customHeight="1">
      <x:c r="A12" s="42" t="str">
        <x:v>우선순위</x:v>
      </x:c>
      <x:c r="B12" s="42" t="str">
        <x:v>P2</x:v>
      </x:c>
      <x:c r="C12" s="42" t="str">
        <x:v>향후 연계·정리·고도화 범위</x:v>
      </x:c>
      <x:c r="D12" s="42" t="str">
        <x:v>현재 실행 경로 유지 우선</x:v>
      </x:c>
    </x:row>
    <x:row r="13" ht="38" customHeight="1">
      <x:c r="A13" s="42" t="str">
        <x:v>변경 규칙</x:v>
      </x:c>
      <x:c r="B13" s="42" t="str">
        <x:v>위험 판정</x:v>
      </x:c>
      <x:c r="C13" s="42" t="str">
        <x:v>graph.py와 engine.ts의 양 경로</x:v>
      </x:c>
      <x:c r="D13" s="42" t="str">
        <x:v>양 테스트·평가 JSON 동시 수정</x:v>
      </x:c>
    </x:row>
    <x:row r="14" ht="38" customHeight="1">
      <x:c r="A14" s="42" t="str">
        <x:v>변경 규칙</x:v>
      </x:c>
      <x:c r="B14" s="42" t="str">
        <x:v>API 응답</x:v>
      </x:c>
      <x:c r="C14" s="42" t="str">
        <x:v>FastAPI·Next 라우터·UI의 계약</x:v>
      </x:c>
      <x:c r="D14" s="42" t="str">
        <x:v>main.py·route.ts·page.tsx 함께 검토</x:v>
      </x:c>
    </x:row>
    <x:row r="15" ht="38" customHeight="1">
      <x:c r="A15" s="43" t="str">
        <x:v>보안</x:v>
      </x:c>
      <x:c r="B15" s="43" t="str">
        <x:v>비밀정보</x:v>
      </x:c>
      <x:c r="C15" s="43" t="str">
        <x:v>API 키·토큰·개인정보·모델 파일</x:v>
      </x:c>
      <x:c r="D15" s="43" t="str">
        <x:v>Git·대장에 값 저장 금지</x:v>
      </x:c>
    </x:row>
  </x:sheetData>
  <x:mergeCells>
    <x:mergeCell ref="A1:D1"/>
  </x:mergeCells>
  <x:pageMargins left="0.7" right="0.7" top="0.75" bottom="0.75" header="0.3" footer="0.3"/>
</x:worksheet>
</file>